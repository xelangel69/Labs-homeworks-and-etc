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van/Documents/Информатика/ЛР_5/"/>
    </mc:Choice>
  </mc:AlternateContent>
  <xr:revisionPtr revIDLastSave="0" documentId="13_ncr:1_{91E493E2-20C1-CF49-9B15-205066D04536}" xr6:coauthVersionLast="47" xr6:coauthVersionMax="47" xr10:uidLastSave="{00000000-0000-0000-0000-000000000000}"/>
  <bookViews>
    <workbookView xWindow="0" yWindow="720" windowWidth="29400" windowHeight="18400" xr2:uid="{714319C0-B6D8-8D49-9364-9C6335023CB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2" i="1" l="1"/>
  <c r="K60" i="1"/>
  <c r="P60" i="1"/>
  <c r="U60" i="1"/>
  <c r="K61" i="1"/>
  <c r="P61" i="1"/>
  <c r="U61" i="1"/>
  <c r="K54" i="1"/>
  <c r="P54" i="1"/>
  <c r="U54" i="1"/>
  <c r="K53" i="1"/>
  <c r="P53" i="1"/>
  <c r="U53" i="1"/>
  <c r="K46" i="1"/>
  <c r="P46" i="1"/>
  <c r="U46" i="1"/>
  <c r="K47" i="1"/>
  <c r="P47" i="1"/>
  <c r="U47" i="1"/>
  <c r="K39" i="1"/>
  <c r="P39" i="1"/>
  <c r="U39" i="1"/>
  <c r="K40" i="1"/>
  <c r="P40" i="1"/>
  <c r="U40" i="1"/>
  <c r="K33" i="1"/>
  <c r="P33" i="1"/>
  <c r="U33" i="1"/>
  <c r="K32" i="1"/>
  <c r="P32" i="1"/>
  <c r="U32" i="1"/>
  <c r="K25" i="1"/>
  <c r="P25" i="1"/>
  <c r="U25" i="1"/>
  <c r="K26" i="1"/>
  <c r="P26" i="1"/>
  <c r="U26" i="1"/>
  <c r="C8" i="1" l="1"/>
  <c r="C7" i="1"/>
  <c r="C6" i="1"/>
  <c r="C5" i="1"/>
  <c r="C4" i="1"/>
  <c r="AD53" i="1" s="1"/>
  <c r="AD25" i="1" l="1"/>
  <c r="AD32" i="1"/>
  <c r="AD61" i="1"/>
  <c r="AD26" i="1"/>
  <c r="C11" i="1"/>
  <c r="AD40" i="1" s="1"/>
  <c r="N5" i="1"/>
  <c r="X5" i="1"/>
  <c r="G5" i="1"/>
  <c r="R5" i="1"/>
  <c r="L5" i="1"/>
  <c r="AD19" i="1"/>
  <c r="O5" i="1"/>
  <c r="Y5" i="1"/>
  <c r="I5" i="1"/>
  <c r="S5" i="1"/>
  <c r="H5" i="1"/>
  <c r="J5" i="1"/>
  <c r="Q5" i="1"/>
  <c r="T5" i="1"/>
  <c r="V5" i="1"/>
  <c r="M5" i="1"/>
  <c r="W5" i="1"/>
  <c r="C13" i="1"/>
  <c r="I7" i="1"/>
  <c r="S7" i="1"/>
  <c r="M7" i="1"/>
  <c r="W7" i="1"/>
  <c r="O7" i="1"/>
  <c r="J7" i="1"/>
  <c r="T7" i="1"/>
  <c r="X7" i="1"/>
  <c r="R7" i="1"/>
  <c r="L7" i="1"/>
  <c r="V7" i="1"/>
  <c r="G7" i="1"/>
  <c r="N7" i="1"/>
  <c r="Y7" i="1"/>
  <c r="Q7" i="1"/>
  <c r="H7" i="1"/>
  <c r="C10" i="1"/>
  <c r="AD18" i="1"/>
  <c r="W4" i="1"/>
  <c r="M4" i="1"/>
  <c r="I4" i="1"/>
  <c r="R4" i="1"/>
  <c r="O4" i="1"/>
  <c r="V4" i="1"/>
  <c r="L4" i="1"/>
  <c r="G4" i="1"/>
  <c r="Y4" i="1"/>
  <c r="X4" i="1"/>
  <c r="T4" i="1"/>
  <c r="J4" i="1"/>
  <c r="S4" i="1"/>
  <c r="Q4" i="1"/>
  <c r="N4" i="1"/>
  <c r="H4" i="1"/>
  <c r="C12" i="1"/>
  <c r="Q6" i="1"/>
  <c r="J6" i="1"/>
  <c r="T6" i="1"/>
  <c r="M6" i="1"/>
  <c r="X6" i="1"/>
  <c r="R6" i="1"/>
  <c r="G6" i="1"/>
  <c r="V6" i="1"/>
  <c r="W6" i="1"/>
  <c r="H6" i="1"/>
  <c r="N6" i="1"/>
  <c r="I6" i="1"/>
  <c r="S6" i="1"/>
  <c r="L6" i="1"/>
  <c r="Y6" i="1"/>
  <c r="O6" i="1"/>
  <c r="C14" i="1"/>
  <c r="AD60" i="1" s="1"/>
  <c r="L8" i="1"/>
  <c r="V8" i="1"/>
  <c r="Y8" i="1"/>
  <c r="G8" i="1"/>
  <c r="I8" i="1"/>
  <c r="J8" i="1"/>
  <c r="M8" i="1"/>
  <c r="W8" i="1"/>
  <c r="O8" i="1"/>
  <c r="Q8" i="1"/>
  <c r="R8" i="1"/>
  <c r="S8" i="1"/>
  <c r="H8" i="1"/>
  <c r="N8" i="1"/>
  <c r="X8" i="1"/>
  <c r="T8" i="1"/>
  <c r="C9" i="1"/>
  <c r="N25" i="1" l="1"/>
  <c r="N32" i="1"/>
  <c r="G32" i="1"/>
  <c r="G25" i="1"/>
  <c r="I25" i="1"/>
  <c r="I32" i="1"/>
  <c r="Y32" i="1"/>
  <c r="Y25" i="1"/>
  <c r="V32" i="1"/>
  <c r="V25" i="1"/>
  <c r="T25" i="1"/>
  <c r="T32" i="1"/>
  <c r="X32" i="1"/>
  <c r="X25" i="1"/>
  <c r="Q32" i="1"/>
  <c r="Q25" i="1"/>
  <c r="L25" i="1"/>
  <c r="L32" i="1"/>
  <c r="H32" i="1"/>
  <c r="H25" i="1"/>
  <c r="S25" i="1"/>
  <c r="S32" i="1"/>
  <c r="W25" i="1"/>
  <c r="W32" i="1"/>
  <c r="M32" i="1"/>
  <c r="M25" i="1"/>
  <c r="O32" i="1"/>
  <c r="O25" i="1"/>
  <c r="J25" i="1"/>
  <c r="J32" i="1"/>
  <c r="R32" i="1"/>
  <c r="R25" i="1"/>
  <c r="Y26" i="1"/>
  <c r="Y61" i="1"/>
  <c r="G18" i="1"/>
  <c r="G53" i="1"/>
  <c r="R26" i="1"/>
  <c r="R61" i="1"/>
  <c r="AD39" i="1"/>
  <c r="AD33" i="1"/>
  <c r="AD34" i="1" s="1"/>
  <c r="O26" i="1"/>
  <c r="O61" i="1"/>
  <c r="V26" i="1"/>
  <c r="V61" i="1"/>
  <c r="Y18" i="1"/>
  <c r="Y53" i="1"/>
  <c r="W18" i="1"/>
  <c r="W53" i="1"/>
  <c r="O18" i="1"/>
  <c r="O53" i="1"/>
  <c r="H18" i="1"/>
  <c r="H53" i="1"/>
  <c r="N18" i="1"/>
  <c r="N53" i="1"/>
  <c r="X26" i="1"/>
  <c r="X61" i="1"/>
  <c r="S18" i="1"/>
  <c r="S53" i="1"/>
  <c r="T61" i="1"/>
  <c r="T26" i="1"/>
  <c r="J18" i="1"/>
  <c r="J53" i="1"/>
  <c r="R18" i="1"/>
  <c r="R53" i="1"/>
  <c r="G26" i="1"/>
  <c r="G61" i="1"/>
  <c r="L18" i="1"/>
  <c r="L53" i="1"/>
  <c r="Q18" i="1"/>
  <c r="Q53" i="1"/>
  <c r="I26" i="1"/>
  <c r="I61" i="1"/>
  <c r="N61" i="1"/>
  <c r="N26" i="1"/>
  <c r="H26" i="1"/>
  <c r="H61" i="1"/>
  <c r="J61" i="1"/>
  <c r="J26" i="1"/>
  <c r="T18" i="1"/>
  <c r="T53" i="1"/>
  <c r="I18" i="1"/>
  <c r="I53" i="1"/>
  <c r="L26" i="1"/>
  <c r="L61" i="1"/>
  <c r="S61" i="1"/>
  <c r="S26" i="1"/>
  <c r="V18" i="1"/>
  <c r="V53" i="1"/>
  <c r="M26" i="1"/>
  <c r="M61" i="1"/>
  <c r="AD62" i="1"/>
  <c r="W26" i="1"/>
  <c r="W61" i="1"/>
  <c r="Q61" i="1"/>
  <c r="Q26" i="1"/>
  <c r="X18" i="1"/>
  <c r="X53" i="1"/>
  <c r="M18" i="1"/>
  <c r="M53" i="1"/>
  <c r="AD20" i="1"/>
  <c r="T19" i="1"/>
  <c r="G19" i="1"/>
  <c r="X19" i="1"/>
  <c r="L19" i="1"/>
  <c r="W19" i="1"/>
  <c r="I19" i="1"/>
  <c r="N19" i="1"/>
  <c r="AD27" i="1"/>
  <c r="AD47" i="1"/>
  <c r="Q19" i="1"/>
  <c r="Y27" i="1"/>
  <c r="J19" i="1"/>
  <c r="M19" i="1"/>
  <c r="Y19" i="1"/>
  <c r="AD41" i="1"/>
  <c r="AD54" i="1"/>
  <c r="AD55" i="1" s="1"/>
  <c r="AD46" i="1"/>
  <c r="R19" i="1"/>
  <c r="H19" i="1"/>
  <c r="S19" i="1"/>
  <c r="V19" i="1"/>
  <c r="O19" i="1"/>
  <c r="C15" i="1"/>
  <c r="N9" i="1"/>
  <c r="X9" i="1"/>
  <c r="H9" i="1"/>
  <c r="G9" i="1"/>
  <c r="J9" i="1"/>
  <c r="V9" i="1"/>
  <c r="O9" i="1"/>
  <c r="Y9" i="1"/>
  <c r="S9" i="1"/>
  <c r="M9" i="1"/>
  <c r="Q9" i="1"/>
  <c r="R9" i="1"/>
  <c r="I9" i="1"/>
  <c r="T9" i="1"/>
  <c r="L9" i="1"/>
  <c r="W9" i="1"/>
  <c r="Q14" i="1"/>
  <c r="Q60" i="1" s="1"/>
  <c r="J14" i="1"/>
  <c r="J60" i="1" s="1"/>
  <c r="M14" i="1"/>
  <c r="M60" i="1" s="1"/>
  <c r="H14" i="1"/>
  <c r="H60" i="1" s="1"/>
  <c r="X14" i="1"/>
  <c r="X60" i="1" s="1"/>
  <c r="R14" i="1"/>
  <c r="R60" i="1" s="1"/>
  <c r="G14" i="1"/>
  <c r="G60" i="1" s="1"/>
  <c r="L14" i="1"/>
  <c r="L60" i="1" s="1"/>
  <c r="N14" i="1"/>
  <c r="N60" i="1" s="1"/>
  <c r="I14" i="1"/>
  <c r="I60" i="1" s="1"/>
  <c r="S14" i="1"/>
  <c r="S60" i="1" s="1"/>
  <c r="V14" i="1"/>
  <c r="V60" i="1" s="1"/>
  <c r="W14" i="1"/>
  <c r="W60" i="1" s="1"/>
  <c r="Y14" i="1"/>
  <c r="Y60" i="1" s="1"/>
  <c r="T14" i="1"/>
  <c r="T60" i="1" s="1"/>
  <c r="O14" i="1"/>
  <c r="O60" i="1" s="1"/>
  <c r="L12" i="1"/>
  <c r="L47" i="1" s="1"/>
  <c r="V12" i="1"/>
  <c r="V47" i="1" s="1"/>
  <c r="O12" i="1"/>
  <c r="O47" i="1" s="1"/>
  <c r="Y12" i="1"/>
  <c r="Y47" i="1" s="1"/>
  <c r="H12" i="1"/>
  <c r="H47" i="1" s="1"/>
  <c r="R12" i="1"/>
  <c r="R47" i="1" s="1"/>
  <c r="G12" i="1"/>
  <c r="G47" i="1" s="1"/>
  <c r="M12" i="1"/>
  <c r="M47" i="1" s="1"/>
  <c r="W12" i="1"/>
  <c r="W47" i="1" s="1"/>
  <c r="Q12" i="1"/>
  <c r="Q47" i="1" s="1"/>
  <c r="S12" i="1"/>
  <c r="S47" i="1" s="1"/>
  <c r="N12" i="1"/>
  <c r="N47" i="1" s="1"/>
  <c r="X12" i="1"/>
  <c r="X47" i="1" s="1"/>
  <c r="I12" i="1"/>
  <c r="I47" i="1" s="1"/>
  <c r="T12" i="1"/>
  <c r="T47" i="1" s="1"/>
  <c r="J12" i="1"/>
  <c r="J47" i="1" s="1"/>
  <c r="Q10" i="1"/>
  <c r="J10" i="1"/>
  <c r="T10" i="1"/>
  <c r="V10" i="1"/>
  <c r="W10" i="1"/>
  <c r="Y10" i="1"/>
  <c r="R10" i="1"/>
  <c r="H10" i="1"/>
  <c r="M10" i="1"/>
  <c r="N10" i="1"/>
  <c r="I10" i="1"/>
  <c r="S10" i="1"/>
  <c r="L10" i="1"/>
  <c r="G10" i="1"/>
  <c r="X10" i="1"/>
  <c r="O10" i="1"/>
  <c r="N13" i="1"/>
  <c r="X13" i="1"/>
  <c r="G13" i="1"/>
  <c r="S13" i="1"/>
  <c r="L13" i="1"/>
  <c r="M13" i="1"/>
  <c r="O13" i="1"/>
  <c r="Y13" i="1"/>
  <c r="T13" i="1"/>
  <c r="W13" i="1"/>
  <c r="Q13" i="1"/>
  <c r="R13" i="1"/>
  <c r="I13" i="1"/>
  <c r="H13" i="1"/>
  <c r="J13" i="1"/>
  <c r="V13" i="1"/>
  <c r="I11" i="1"/>
  <c r="S11" i="1"/>
  <c r="M11" i="1"/>
  <c r="Q11" i="1"/>
  <c r="G11" i="1"/>
  <c r="J11" i="1"/>
  <c r="T11" i="1"/>
  <c r="W11" i="1"/>
  <c r="N11" i="1"/>
  <c r="Y11" i="1"/>
  <c r="R11" i="1"/>
  <c r="L11" i="1"/>
  <c r="V11" i="1"/>
  <c r="H11" i="1"/>
  <c r="X11" i="1"/>
  <c r="O11" i="1"/>
  <c r="Q46" i="1" l="1"/>
  <c r="Q40" i="1"/>
  <c r="Q54" i="1"/>
  <c r="R54" i="1"/>
  <c r="R46" i="1"/>
  <c r="R40" i="1"/>
  <c r="M46" i="1"/>
  <c r="M54" i="1"/>
  <c r="M40" i="1"/>
  <c r="Y46" i="1"/>
  <c r="Y40" i="1"/>
  <c r="Y54" i="1"/>
  <c r="S40" i="1"/>
  <c r="S54" i="1"/>
  <c r="S46" i="1"/>
  <c r="I40" i="1"/>
  <c r="I46" i="1"/>
  <c r="I54" i="1"/>
  <c r="X46" i="1"/>
  <c r="X40" i="1"/>
  <c r="X54" i="1"/>
  <c r="L46" i="1"/>
  <c r="L40" i="1"/>
  <c r="L54" i="1"/>
  <c r="O46" i="1"/>
  <c r="O40" i="1"/>
  <c r="O54" i="1"/>
  <c r="T46" i="1"/>
  <c r="T40" i="1"/>
  <c r="T54" i="1"/>
  <c r="N40" i="1"/>
  <c r="N54" i="1"/>
  <c r="N46" i="1"/>
  <c r="W40" i="1"/>
  <c r="W54" i="1"/>
  <c r="W46" i="1"/>
  <c r="H46" i="1"/>
  <c r="H40" i="1"/>
  <c r="H54" i="1"/>
  <c r="J54" i="1"/>
  <c r="J46" i="1"/>
  <c r="J40" i="1"/>
  <c r="V46" i="1"/>
  <c r="V40" i="1"/>
  <c r="V54" i="1"/>
  <c r="G54" i="1"/>
  <c r="G46" i="1"/>
  <c r="G40" i="1"/>
  <c r="X33" i="1"/>
  <c r="X39" i="1"/>
  <c r="Y39" i="1"/>
  <c r="Y33" i="1"/>
  <c r="M33" i="1"/>
  <c r="M39" i="1"/>
  <c r="Q39" i="1"/>
  <c r="Q33" i="1"/>
  <c r="W33" i="1"/>
  <c r="W39" i="1"/>
  <c r="S39" i="1"/>
  <c r="S33" i="1"/>
  <c r="O33" i="1"/>
  <c r="O39" i="1"/>
  <c r="L39" i="1"/>
  <c r="L33" i="1"/>
  <c r="V33" i="1"/>
  <c r="V39" i="1"/>
  <c r="I39" i="1"/>
  <c r="I33" i="1"/>
  <c r="T39" i="1"/>
  <c r="T33" i="1"/>
  <c r="H33" i="1"/>
  <c r="H39" i="1"/>
  <c r="R39" i="1"/>
  <c r="R33" i="1"/>
  <c r="G39" i="1"/>
  <c r="G33" i="1"/>
  <c r="N33" i="1"/>
  <c r="N39" i="1"/>
  <c r="J33" i="1"/>
  <c r="J39" i="1"/>
  <c r="AD48" i="1"/>
  <c r="X24" i="1"/>
  <c r="Y20" i="1"/>
  <c r="X17" i="1"/>
  <c r="I15" i="1"/>
  <c r="S15" i="1"/>
  <c r="M15" i="1"/>
  <c r="Y15" i="1"/>
  <c r="R15" i="1"/>
  <c r="J15" i="1"/>
  <c r="T15" i="1"/>
  <c r="W15" i="1"/>
  <c r="N15" i="1"/>
  <c r="O15" i="1"/>
  <c r="H15" i="1"/>
  <c r="L15" i="1"/>
  <c r="V15" i="1"/>
  <c r="G15" i="1"/>
  <c r="X15" i="1"/>
  <c r="Q15" i="1"/>
  <c r="Y41" i="1" l="1"/>
  <c r="Y55" i="1"/>
  <c r="X38" i="1"/>
  <c r="Y34" i="1"/>
  <c r="X31" i="1"/>
  <c r="X20" i="1"/>
  <c r="W17" i="1"/>
  <c r="N22" i="1"/>
  <c r="W24" i="1"/>
  <c r="X27" i="1"/>
  <c r="N29" i="1"/>
  <c r="X52" i="1"/>
  <c r="W52" i="1" s="1"/>
  <c r="W55" i="1" l="1"/>
  <c r="X55" i="1"/>
  <c r="N57" i="1"/>
  <c r="Y48" i="1"/>
  <c r="X45" i="1"/>
  <c r="V52" i="1"/>
  <c r="V55" i="1" s="1"/>
  <c r="V17" i="1"/>
  <c r="W20" i="1"/>
  <c r="X34" i="1"/>
  <c r="W31" i="1"/>
  <c r="N36" i="1"/>
  <c r="W27" i="1"/>
  <c r="V24" i="1"/>
  <c r="X41" i="1"/>
  <c r="N43" i="1"/>
  <c r="W38" i="1"/>
  <c r="U52" i="1" l="1"/>
  <c r="T52" i="1" s="1"/>
  <c r="T55" i="1" s="1"/>
  <c r="Y62" i="1"/>
  <c r="X59" i="1"/>
  <c r="W41" i="1"/>
  <c r="V38" i="1"/>
  <c r="U17" i="1"/>
  <c r="T17" i="1" s="1"/>
  <c r="V20" i="1"/>
  <c r="W34" i="1"/>
  <c r="V31" i="1"/>
  <c r="V27" i="1"/>
  <c r="U24" i="1"/>
  <c r="T24" i="1" s="1"/>
  <c r="X48" i="1"/>
  <c r="N50" i="1"/>
  <c r="W45" i="1"/>
  <c r="S52" i="1" l="1"/>
  <c r="W48" i="1"/>
  <c r="V45" i="1"/>
  <c r="S55" i="1"/>
  <c r="R52" i="1"/>
  <c r="S17" i="1"/>
  <c r="T20" i="1"/>
  <c r="V41" i="1"/>
  <c r="U38" i="1"/>
  <c r="T38" i="1" s="1"/>
  <c r="T27" i="1"/>
  <c r="S24" i="1"/>
  <c r="X62" i="1"/>
  <c r="W59" i="1"/>
  <c r="N64" i="1"/>
  <c r="V34" i="1"/>
  <c r="U31" i="1"/>
  <c r="T31" i="1" s="1"/>
  <c r="R17" i="1" l="1"/>
  <c r="S20" i="1"/>
  <c r="T34" i="1"/>
  <c r="S31" i="1"/>
  <c r="W62" i="1"/>
  <c r="V59" i="1"/>
  <c r="V48" i="1"/>
  <c r="U45" i="1"/>
  <c r="T45" i="1" s="1"/>
  <c r="T41" i="1"/>
  <c r="S38" i="1"/>
  <c r="R55" i="1"/>
  <c r="Q52" i="1"/>
  <c r="S27" i="1"/>
  <c r="R24" i="1"/>
  <c r="Q55" i="1" l="1"/>
  <c r="P52" i="1"/>
  <c r="O52" i="1" s="1"/>
  <c r="R27" i="1"/>
  <c r="Q24" i="1"/>
  <c r="S34" i="1"/>
  <c r="R31" i="1"/>
  <c r="T48" i="1"/>
  <c r="S45" i="1"/>
  <c r="V62" i="1"/>
  <c r="U59" i="1"/>
  <c r="T59" i="1" s="1"/>
  <c r="S41" i="1"/>
  <c r="R38" i="1"/>
  <c r="Q17" i="1"/>
  <c r="R20" i="1"/>
  <c r="S48" i="1" l="1"/>
  <c r="R45" i="1"/>
  <c r="R34" i="1"/>
  <c r="Q31" i="1"/>
  <c r="P17" i="1"/>
  <c r="O17" i="1" s="1"/>
  <c r="Q20" i="1"/>
  <c r="R41" i="1"/>
  <c r="Q38" i="1"/>
  <c r="Q27" i="1"/>
  <c r="P24" i="1"/>
  <c r="O24" i="1" s="1"/>
  <c r="T62" i="1"/>
  <c r="S59" i="1"/>
  <c r="O55" i="1"/>
  <c r="N52" i="1"/>
  <c r="K57" i="1"/>
  <c r="Q41" i="1" l="1"/>
  <c r="P38" i="1"/>
  <c r="O38" i="1" s="1"/>
  <c r="N55" i="1"/>
  <c r="M52" i="1"/>
  <c r="Q34" i="1"/>
  <c r="P31" i="1"/>
  <c r="O31" i="1" s="1"/>
  <c r="N17" i="1"/>
  <c r="O20" i="1"/>
  <c r="R48" i="1"/>
  <c r="Q45" i="1"/>
  <c r="S62" i="1"/>
  <c r="R59" i="1"/>
  <c r="O27" i="1"/>
  <c r="N24" i="1"/>
  <c r="K29" i="1"/>
  <c r="R62" i="1" l="1"/>
  <c r="Q59" i="1"/>
  <c r="K36" i="1"/>
  <c r="M55" i="1"/>
  <c r="L52" i="1"/>
  <c r="Q48" i="1"/>
  <c r="P45" i="1"/>
  <c r="O45" i="1" s="1"/>
  <c r="O41" i="1"/>
  <c r="N38" i="1"/>
  <c r="N27" i="1"/>
  <c r="M24" i="1"/>
  <c r="O34" i="1"/>
  <c r="N31" i="1"/>
  <c r="M17" i="1"/>
  <c r="N20" i="1"/>
  <c r="K43" i="1"/>
  <c r="L17" i="1" l="1"/>
  <c r="M20" i="1"/>
  <c r="L55" i="1"/>
  <c r="K52" i="1"/>
  <c r="J52" i="1" s="1"/>
  <c r="K50" i="1"/>
  <c r="N41" i="1"/>
  <c r="M38" i="1"/>
  <c r="Q62" i="1"/>
  <c r="P59" i="1"/>
  <c r="O59" i="1" s="1"/>
  <c r="O48" i="1"/>
  <c r="N45" i="1"/>
  <c r="N34" i="1"/>
  <c r="M31" i="1"/>
  <c r="M27" i="1"/>
  <c r="L24" i="1"/>
  <c r="L27" i="1" l="1"/>
  <c r="K24" i="1"/>
  <c r="J24" i="1" s="1"/>
  <c r="M34" i="1"/>
  <c r="L31" i="1"/>
  <c r="J55" i="1"/>
  <c r="I52" i="1"/>
  <c r="O62" i="1"/>
  <c r="N59" i="1"/>
  <c r="M41" i="1"/>
  <c r="L38" i="1"/>
  <c r="N48" i="1"/>
  <c r="M45" i="1"/>
  <c r="K64" i="1"/>
  <c r="K17" i="1"/>
  <c r="J17" i="1" s="1"/>
  <c r="L20" i="1"/>
  <c r="I17" i="1" l="1"/>
  <c r="J20" i="1"/>
  <c r="L34" i="1"/>
  <c r="K31" i="1"/>
  <c r="J31" i="1" s="1"/>
  <c r="L41" i="1"/>
  <c r="K38" i="1"/>
  <c r="J38" i="1" s="1"/>
  <c r="N62" i="1"/>
  <c r="M59" i="1"/>
  <c r="I55" i="1"/>
  <c r="H52" i="1"/>
  <c r="M48" i="1"/>
  <c r="L45" i="1"/>
  <c r="J27" i="1"/>
  <c r="I24" i="1"/>
  <c r="J41" i="1" l="1"/>
  <c r="I38" i="1"/>
  <c r="J34" i="1"/>
  <c r="I31" i="1"/>
  <c r="H55" i="1"/>
  <c r="G52" i="1"/>
  <c r="M62" i="1"/>
  <c r="L59" i="1"/>
  <c r="I27" i="1"/>
  <c r="H24" i="1"/>
  <c r="L48" i="1"/>
  <c r="K45" i="1"/>
  <c r="J45" i="1" s="1"/>
  <c r="H17" i="1"/>
  <c r="I20" i="1"/>
  <c r="H20" i="1" l="1"/>
  <c r="G17" i="1"/>
  <c r="W22" i="1" s="1"/>
  <c r="J48" i="1"/>
  <c r="I45" i="1"/>
  <c r="W57" i="1"/>
  <c r="G55" i="1"/>
  <c r="AA55" i="1" s="1"/>
  <c r="H57" i="1"/>
  <c r="L62" i="1"/>
  <c r="K59" i="1"/>
  <c r="J59" i="1" s="1"/>
  <c r="I41" i="1"/>
  <c r="H38" i="1"/>
  <c r="H27" i="1"/>
  <c r="G24" i="1"/>
  <c r="I34" i="1"/>
  <c r="H31" i="1"/>
  <c r="Q57" i="1" l="1"/>
  <c r="T57" i="1"/>
  <c r="G27" i="1"/>
  <c r="AA27" i="1" s="1"/>
  <c r="AF26" i="1" s="1"/>
  <c r="H29" i="1"/>
  <c r="W29" i="1"/>
  <c r="H34" i="1"/>
  <c r="G31" i="1"/>
  <c r="W36" i="1" s="1"/>
  <c r="J62" i="1"/>
  <c r="I59" i="1"/>
  <c r="H22" i="1"/>
  <c r="G20" i="1"/>
  <c r="AA20" i="1" s="1"/>
  <c r="AF19" i="1" s="1"/>
  <c r="AF54" i="1"/>
  <c r="I48" i="1"/>
  <c r="H45" i="1"/>
  <c r="H41" i="1"/>
  <c r="G38" i="1"/>
  <c r="T29" i="1" l="1"/>
  <c r="Q29" i="1"/>
  <c r="Q22" i="1"/>
  <c r="T22" i="1"/>
  <c r="G41" i="1"/>
  <c r="AA41" i="1" s="1"/>
  <c r="AF40" i="1" s="1"/>
  <c r="H43" i="1"/>
  <c r="I62" i="1"/>
  <c r="H59" i="1"/>
  <c r="W43" i="1"/>
  <c r="H48" i="1"/>
  <c r="G45" i="1"/>
  <c r="W50" i="1" s="1"/>
  <c r="G34" i="1"/>
  <c r="AA34" i="1" s="1"/>
  <c r="AF33" i="1" s="1"/>
  <c r="H36" i="1"/>
  <c r="G48" i="1" l="1"/>
  <c r="AA48" i="1" s="1"/>
  <c r="AF47" i="1" s="1"/>
  <c r="H50" i="1"/>
  <c r="H62" i="1"/>
  <c r="G59" i="1"/>
  <c r="W64" i="1" s="1"/>
  <c r="T36" i="1"/>
  <c r="Q36" i="1"/>
  <c r="T43" i="1"/>
  <c r="Q43" i="1"/>
  <c r="G62" i="1" l="1"/>
  <c r="AA62" i="1" s="1"/>
  <c r="AF61" i="1" s="1"/>
  <c r="H64" i="1"/>
  <c r="T50" i="1"/>
  <c r="Q50" i="1"/>
  <c r="T64" i="1" l="1"/>
  <c r="Q64" i="1"/>
</calcChain>
</file>

<file path=xl/sharedStrings.xml><?xml version="1.0" encoding="utf-8"?>
<sst xmlns="http://schemas.openxmlformats.org/spreadsheetml/2006/main" count="217" uniqueCount="78">
  <si>
    <t>A=</t>
  </si>
  <si>
    <t>C=</t>
  </si>
  <si>
    <t>X1=</t>
  </si>
  <si>
    <t>X2=</t>
  </si>
  <si>
    <t>X3=</t>
  </si>
  <si>
    <t>X4=</t>
  </si>
  <si>
    <t>X5=</t>
  </si>
  <si>
    <t>X6=</t>
  </si>
  <si>
    <t>X7=</t>
  </si>
  <si>
    <t>X8=</t>
  </si>
  <si>
    <t>X9=</t>
  </si>
  <si>
    <t>X10=</t>
  </si>
  <si>
    <t>X11=</t>
  </si>
  <si>
    <t>X12=</t>
  </si>
  <si>
    <t>A+C=</t>
  </si>
  <si>
    <t>A+C+C=</t>
  </si>
  <si>
    <t>C-A=</t>
  </si>
  <si>
    <t>65536-X4=</t>
  </si>
  <si>
    <t>-X6=</t>
  </si>
  <si>
    <t>-X5=</t>
  </si>
  <si>
    <t>-X4=</t>
  </si>
  <si>
    <t>-X3=</t>
  </si>
  <si>
    <t>-X2=</t>
  </si>
  <si>
    <t>-X1=</t>
  </si>
  <si>
    <t>B1=</t>
  </si>
  <si>
    <t>B1</t>
  </si>
  <si>
    <t>B2</t>
  </si>
  <si>
    <t>B3</t>
  </si>
  <si>
    <t>B7</t>
  </si>
  <si>
    <t>B8</t>
  </si>
  <si>
    <t>B9</t>
  </si>
  <si>
    <t>B11</t>
  </si>
  <si>
    <t>B2=</t>
  </si>
  <si>
    <t>B3=</t>
  </si>
  <si>
    <t>B4=</t>
  </si>
  <si>
    <t>B5=</t>
  </si>
  <si>
    <t>B6=</t>
  </si>
  <si>
    <t>B7=</t>
  </si>
  <si>
    <t>B8=</t>
  </si>
  <si>
    <t>B9=</t>
  </si>
  <si>
    <t>B10=</t>
  </si>
  <si>
    <t>B11=</t>
  </si>
  <si>
    <t>B12=</t>
  </si>
  <si>
    <t>.</t>
  </si>
  <si>
    <t>-B1</t>
  </si>
  <si>
    <t>-B2</t>
  </si>
  <si>
    <t>-B3</t>
  </si>
  <si>
    <t>-B4</t>
  </si>
  <si>
    <t>-B5</t>
  </si>
  <si>
    <t>-B6</t>
  </si>
  <si>
    <t>+</t>
  </si>
  <si>
    <t>CF=</t>
  </si>
  <si>
    <t>PF=</t>
  </si>
  <si>
    <t>AF=</t>
  </si>
  <si>
    <t>ZF=</t>
  </si>
  <si>
    <t>=</t>
  </si>
  <si>
    <t>X1</t>
  </si>
  <si>
    <t>X2</t>
  </si>
  <si>
    <t>Перенос</t>
  </si>
  <si>
    <t>SF=</t>
  </si>
  <si>
    <t>OF=</t>
  </si>
  <si>
    <t>X3</t>
  </si>
  <si>
    <t>X7</t>
  </si>
  <si>
    <t>X8</t>
  </si>
  <si>
    <t>X9</t>
  </si>
  <si>
    <t>X11</t>
  </si>
  <si>
    <t>ОДЗ: [-32768;32767]</t>
  </si>
  <si>
    <t>Результат корректный</t>
  </si>
  <si>
    <t>7)</t>
  </si>
  <si>
    <t>6)</t>
  </si>
  <si>
    <t>5)</t>
  </si>
  <si>
    <t>4)</t>
  </si>
  <si>
    <t>3)</t>
  </si>
  <si>
    <t>2)</t>
  </si>
  <si>
    <t>1)</t>
  </si>
  <si>
    <t>Результат корректный, перенос из старшего разряда не учитывается</t>
  </si>
  <si>
    <t>При сложении отрицательных чисел получен положительный результат - ПЕРЕПОЛНЕНИЕ</t>
  </si>
  <si>
    <t>При сложении положительных чисел получен отрицательный результат - ПЕРЕПОЛНЕНИЕ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</si>
</sst>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  <font>
      <sz val="14"/>
      <color rgb="FF000000"/>
      <name val="Aptos Display"/>
      <charset val="204"/>
      <scheme val="major"/>
    </font>
    <font>
      <sz val="14"/>
      <color theme="1"/>
      <name val="Aptos Display"/>
      <charset val="204"/>
      <scheme val="major"/>
    </font>
    <font>
      <sz val="12"/>
      <color theme="1"/>
      <name val="Aptos Display"/>
      <charset val="204"/>
      <scheme val="major"/>
    </font>
    <font>
      <sz val="11"/>
      <color theme="1"/>
      <name val="Aptos Narrow"/>
      <family val="2"/>
      <charset val="204"/>
      <scheme val="minor"/>
    </font>
    <font>
      <sz val="9"/>
      <color theme="1"/>
      <name val="Aptos Narrow"/>
      <family val="2"/>
      <charset val="204"/>
      <scheme val="minor"/>
    </font>
    <font>
      <sz val="13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quotePrefix="1" applyFont="1"/>
    <xf numFmtId="0" fontId="0" fillId="0" borderId="0" xfId="0" quotePrefix="1" applyFont="1"/>
    <xf numFmtId="0" fontId="4" fillId="0" borderId="0" xfId="0" quotePrefix="1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3" fillId="0" borderId="0" xfId="0" applyFont="1" applyAlignment="1">
      <alignment horizontal="center" vertical="center"/>
    </xf>
    <xf numFmtId="0" fontId="0" fillId="0" borderId="4" xfId="0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0" fontId="6" fillId="0" borderId="0" xfId="0" applyFont="1" applyAlignment="1">
      <alignment horizontal="center" vertical="center"/>
    </xf>
    <xf numFmtId="0" fontId="0" fillId="0" borderId="4" xfId="0" applyBorder="1" applyAlignment="1">
      <alignment horizontal="center"/>
    </xf>
    <xf numFmtId="0" fontId="7" fillId="0" borderId="0" xfId="0" applyFont="1"/>
    <xf numFmtId="0" fontId="0" fillId="0" borderId="0" xfId="0" applyAlignment="1"/>
    <xf numFmtId="0" fontId="0" fillId="0" borderId="0" xfId="0" applyAlignment="1">
      <alignment horizontal="left"/>
    </xf>
    <xf numFmtId="0" fontId="5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1D4BB-2C90-B946-BC5F-26DCB892CB69}">
  <dimension ref="A1:AF64"/>
  <sheetViews>
    <sheetView tabSelected="1" topLeftCell="A54" zoomScale="111" zoomScaleNormal="100" workbookViewId="0">
      <selection activeCell="K23" sqref="K23"/>
    </sheetView>
  </sheetViews>
  <sheetFormatPr baseColWidth="10" defaultRowHeight="16" x14ac:dyDescent="0.2"/>
  <cols>
    <col min="2" max="2" width="11.5" bestFit="1" customWidth="1"/>
    <col min="4" max="4" width="6.1640625" customWidth="1"/>
    <col min="5" max="5" width="8.5" bestFit="1" customWidth="1"/>
    <col min="6" max="6" width="4" bestFit="1" customWidth="1"/>
    <col min="7" max="25" width="4.5" customWidth="1"/>
    <col min="26" max="26" width="2.5" customWidth="1"/>
    <col min="27" max="27" width="7.6640625" bestFit="1" customWidth="1"/>
    <col min="28" max="28" width="6.33203125" customWidth="1"/>
    <col min="29" max="29" width="5" customWidth="1"/>
    <col min="30" max="30" width="9.33203125" customWidth="1"/>
    <col min="32" max="32" width="19.5" customWidth="1"/>
  </cols>
  <sheetData>
    <row r="1" spans="1:32" ht="18" x14ac:dyDescent="0.25">
      <c r="A1" s="2"/>
      <c r="B1" s="2" t="s">
        <v>0</v>
      </c>
      <c r="C1" s="2">
        <v>2079</v>
      </c>
      <c r="D1" s="2"/>
      <c r="Z1" s="13"/>
    </row>
    <row r="2" spans="1:32" ht="18" x14ac:dyDescent="0.25">
      <c r="A2" s="2"/>
      <c r="B2" s="2" t="s">
        <v>1</v>
      </c>
      <c r="C2" s="2">
        <v>16793</v>
      </c>
      <c r="D2" s="2"/>
      <c r="Z2" s="13"/>
      <c r="AF2" s="13" t="s">
        <v>66</v>
      </c>
    </row>
    <row r="3" spans="1:32" ht="18" x14ac:dyDescent="0.25">
      <c r="A3" s="2"/>
      <c r="B3" s="2"/>
      <c r="C3" s="2"/>
      <c r="D3" s="2"/>
      <c r="G3" s="6">
        <v>15</v>
      </c>
      <c r="H3" s="7">
        <v>14</v>
      </c>
      <c r="I3" s="7">
        <v>13</v>
      </c>
      <c r="J3" s="8">
        <v>12</v>
      </c>
      <c r="L3" s="6">
        <v>11</v>
      </c>
      <c r="M3" s="7">
        <v>10</v>
      </c>
      <c r="N3" s="7">
        <v>9</v>
      </c>
      <c r="O3" s="8">
        <v>8</v>
      </c>
      <c r="Q3" s="6">
        <v>7</v>
      </c>
      <c r="R3" s="7">
        <v>6</v>
      </c>
      <c r="S3" s="7">
        <v>5</v>
      </c>
      <c r="T3" s="8">
        <v>4</v>
      </c>
      <c r="V3" s="6">
        <v>3</v>
      </c>
      <c r="W3" s="7">
        <v>2</v>
      </c>
      <c r="X3" s="7">
        <v>1</v>
      </c>
      <c r="Y3" s="8">
        <v>0</v>
      </c>
      <c r="Z3" s="13"/>
    </row>
    <row r="4" spans="1:32" ht="18" x14ac:dyDescent="0.25">
      <c r="A4" s="2" t="s">
        <v>2</v>
      </c>
      <c r="B4" s="2" t="s">
        <v>0</v>
      </c>
      <c r="C4" s="2">
        <f>C1</f>
        <v>2079</v>
      </c>
      <c r="D4" s="2"/>
      <c r="E4" t="s">
        <v>24</v>
      </c>
      <c r="G4">
        <f>MOD(INT(IF($C4&lt;0, 65536+$C4, $C4) / 32768), 2)</f>
        <v>0</v>
      </c>
      <c r="H4">
        <f>MOD(INT(IF($C4&lt;0, 65536+$C4, $C4) / 16384), 2)</f>
        <v>0</v>
      </c>
      <c r="I4">
        <f>MOD(INT(IF($C4&lt;0, 65536+$C4, $C4) / 8192), 2)</f>
        <v>0</v>
      </c>
      <c r="J4">
        <f>MOD(INT(IF($C4&lt;0, 65536+$C4, $C4) / 4096), 2)</f>
        <v>0</v>
      </c>
      <c r="K4" s="13" t="s">
        <v>43</v>
      </c>
      <c r="L4">
        <f>MOD(INT(IF($C4&lt;0, 65536+$C4, $C4) / 2048), 2)</f>
        <v>1</v>
      </c>
      <c r="M4">
        <f>MOD(INT(IF($C4&lt;0, 65536+$C4, $C4) / 1024), 2)</f>
        <v>0</v>
      </c>
      <c r="N4">
        <f>MOD(INT(IF($C4&lt;0, 65536+$C4, $C4) / 512), 2)</f>
        <v>0</v>
      </c>
      <c r="O4">
        <f>MOD(INT(IF($C4&lt;0, 65536+$C4, $C4) / 256), 2)</f>
        <v>0</v>
      </c>
      <c r="P4" s="13" t="s">
        <v>43</v>
      </c>
      <c r="Q4">
        <f>MOD(INT(IF($C4&lt;0, 65536+$C4, $C4) / 128), 2)</f>
        <v>0</v>
      </c>
      <c r="R4">
        <f>MOD(INT(IF($C4&lt;0, 65536+$C4, $C4) / 64), 2)</f>
        <v>0</v>
      </c>
      <c r="S4">
        <f>MOD(INT(IF($C4&lt;0, 65536+$C4, $C4) / 32), 2)</f>
        <v>0</v>
      </c>
      <c r="T4">
        <f>MOD(INT(IF($C4&lt;0, 65536+$C4, $C4) / 16), 2)</f>
        <v>1</v>
      </c>
      <c r="U4" s="13" t="s">
        <v>43</v>
      </c>
      <c r="V4">
        <f>MOD(INT(IF($C4&lt;0, 65536+$C4, $C4) / 8), 2)</f>
        <v>1</v>
      </c>
      <c r="W4">
        <f>MOD(INT(IF($C4&lt;0, 65536+$C4, $C4) / 4), 2)</f>
        <v>1</v>
      </c>
      <c r="X4">
        <f>MOD(INT(IF($C4&lt;0, 65536+$C4, $C4) / 2), 2)</f>
        <v>1</v>
      </c>
      <c r="Y4">
        <f>MOD(INT(IF($C4&lt;0, 65536+$C4, $C4) / 1), 2)</f>
        <v>1</v>
      </c>
      <c r="Z4" s="13"/>
      <c r="AF4" s="20" t="s">
        <v>67</v>
      </c>
    </row>
    <row r="5" spans="1:32" ht="18" x14ac:dyDescent="0.25">
      <c r="A5" s="2" t="s">
        <v>3</v>
      </c>
      <c r="B5" s="2" t="s">
        <v>1</v>
      </c>
      <c r="C5" s="2">
        <f>C2</f>
        <v>16793</v>
      </c>
      <c r="D5" s="2"/>
      <c r="E5" t="s">
        <v>32</v>
      </c>
      <c r="G5">
        <f t="shared" ref="G5:I15" si="0">MOD(INT(IF($C5&lt;0, 65536+$C5, $C5) / 32768), 2)</f>
        <v>0</v>
      </c>
      <c r="H5">
        <f t="shared" ref="H5:H15" si="1">MOD(INT(IF($C5&lt;0, 65536+$C5, $C5) / 16384), 2)</f>
        <v>1</v>
      </c>
      <c r="I5">
        <f t="shared" ref="I5:I15" si="2">MOD(INT(IF($C5&lt;0, 65536+$C5, $C5) / 8192), 2)</f>
        <v>0</v>
      </c>
      <c r="J5">
        <f t="shared" ref="J5:J15" si="3">MOD(INT(IF($C5&lt;0, 65536+$C5, $C5) / 4096), 2)</f>
        <v>0</v>
      </c>
      <c r="K5" s="13" t="s">
        <v>43</v>
      </c>
      <c r="L5">
        <f t="shared" ref="L5:L15" si="4">MOD(INT(IF($C5&lt;0, 65536+$C5, $C5) / 2048), 2)</f>
        <v>0</v>
      </c>
      <c r="M5">
        <f t="shared" ref="M5:M15" si="5">MOD(INT(IF($C5&lt;0, 65536+$C5, $C5) / 1024), 2)</f>
        <v>0</v>
      </c>
      <c r="N5">
        <f t="shared" ref="N5:N15" si="6">MOD(INT(IF($C5&lt;0, 65536+$C5, $C5) / 512), 2)</f>
        <v>0</v>
      </c>
      <c r="O5">
        <f t="shared" ref="O5:O15" si="7">MOD(INT(IF($C5&lt;0, 65536+$C5, $C5) / 256), 2)</f>
        <v>1</v>
      </c>
      <c r="P5" s="13" t="s">
        <v>43</v>
      </c>
      <c r="Q5">
        <f t="shared" ref="Q5:Q15" si="8">MOD(INT(IF($C5&lt;0, 65536+$C5, $C5) / 128), 2)</f>
        <v>1</v>
      </c>
      <c r="R5">
        <f t="shared" ref="R5:R15" si="9">MOD(INT(IF($C5&lt;0, 65536+$C5, $C5) / 64), 2)</f>
        <v>0</v>
      </c>
      <c r="S5">
        <f t="shared" ref="S5:S15" si="10">MOD(INT(IF($C5&lt;0, 65536+$C5, $C5) / 32), 2)</f>
        <v>0</v>
      </c>
      <c r="T5">
        <f t="shared" ref="T5:T15" si="11">MOD(INT(IF($C5&lt;0, 65536+$C5, $C5) / 16), 2)</f>
        <v>1</v>
      </c>
      <c r="U5" s="13" t="s">
        <v>43</v>
      </c>
      <c r="V5">
        <f t="shared" ref="V5:V15" si="12">MOD(INT(IF($C5&lt;0, 65536+$C5, $C5) / 8), 2)</f>
        <v>1</v>
      </c>
      <c r="W5">
        <f t="shared" ref="W5:W15" si="13">MOD(INT(IF($C5&lt;0, 65536+$C5, $C5) / 4), 2)</f>
        <v>0</v>
      </c>
      <c r="X5">
        <f t="shared" ref="X5:X15" si="14">MOD(INT(IF($C5&lt;0, 65536+$C5, $C5) / 2), 2)</f>
        <v>0</v>
      </c>
      <c r="Y5">
        <f t="shared" ref="Y5:Y15" si="15">MOD(INT(IF($C5&lt;0, 65536+$C5, $C5) / 1), 2)</f>
        <v>1</v>
      </c>
      <c r="Z5" s="13"/>
      <c r="AF5" s="20" t="s">
        <v>75</v>
      </c>
    </row>
    <row r="6" spans="1:32" ht="18" x14ac:dyDescent="0.25">
      <c r="A6" s="2" t="s">
        <v>4</v>
      </c>
      <c r="B6" s="2" t="s">
        <v>14</v>
      </c>
      <c r="C6" s="2">
        <f>C1+C2</f>
        <v>18872</v>
      </c>
      <c r="D6" s="2"/>
      <c r="E6" t="s">
        <v>33</v>
      </c>
      <c r="G6">
        <f t="shared" si="0"/>
        <v>0</v>
      </c>
      <c r="H6">
        <f t="shared" si="1"/>
        <v>1</v>
      </c>
      <c r="I6">
        <f t="shared" si="2"/>
        <v>0</v>
      </c>
      <c r="J6">
        <f t="shared" si="3"/>
        <v>0</v>
      </c>
      <c r="K6" s="13" t="s">
        <v>43</v>
      </c>
      <c r="L6">
        <f t="shared" si="4"/>
        <v>1</v>
      </c>
      <c r="M6">
        <f t="shared" si="5"/>
        <v>0</v>
      </c>
      <c r="N6">
        <f t="shared" si="6"/>
        <v>0</v>
      </c>
      <c r="O6">
        <f t="shared" si="7"/>
        <v>1</v>
      </c>
      <c r="P6" s="13" t="s">
        <v>43</v>
      </c>
      <c r="Q6">
        <f t="shared" si="8"/>
        <v>1</v>
      </c>
      <c r="R6">
        <f t="shared" si="9"/>
        <v>0</v>
      </c>
      <c r="S6">
        <f t="shared" si="10"/>
        <v>1</v>
      </c>
      <c r="T6">
        <f t="shared" si="11"/>
        <v>1</v>
      </c>
      <c r="U6" s="13" t="s">
        <v>43</v>
      </c>
      <c r="V6">
        <f t="shared" si="12"/>
        <v>1</v>
      </c>
      <c r="W6">
        <f t="shared" si="13"/>
        <v>0</v>
      </c>
      <c r="X6">
        <f t="shared" si="14"/>
        <v>0</v>
      </c>
      <c r="Y6">
        <f t="shared" si="15"/>
        <v>0</v>
      </c>
      <c r="Z6" s="13"/>
      <c r="AF6" s="20" t="s">
        <v>76</v>
      </c>
    </row>
    <row r="7" spans="1:32" ht="18" x14ac:dyDescent="0.25">
      <c r="A7" s="2" t="s">
        <v>5</v>
      </c>
      <c r="B7" s="2" t="s">
        <v>15</v>
      </c>
      <c r="C7" s="2">
        <f>C1+C2+C2</f>
        <v>35665</v>
      </c>
      <c r="D7" s="2"/>
      <c r="E7" t="s">
        <v>34</v>
      </c>
      <c r="G7">
        <f t="shared" si="0"/>
        <v>1</v>
      </c>
      <c r="H7">
        <f t="shared" si="1"/>
        <v>0</v>
      </c>
      <c r="I7">
        <f t="shared" si="2"/>
        <v>0</v>
      </c>
      <c r="J7">
        <f t="shared" si="3"/>
        <v>0</v>
      </c>
      <c r="K7" s="13" t="s">
        <v>43</v>
      </c>
      <c r="L7">
        <f t="shared" si="4"/>
        <v>1</v>
      </c>
      <c r="M7">
        <f t="shared" si="5"/>
        <v>0</v>
      </c>
      <c r="N7">
        <f t="shared" si="6"/>
        <v>1</v>
      </c>
      <c r="O7">
        <f t="shared" si="7"/>
        <v>1</v>
      </c>
      <c r="P7" s="13" t="s">
        <v>43</v>
      </c>
      <c r="Q7">
        <f t="shared" si="8"/>
        <v>0</v>
      </c>
      <c r="R7">
        <f t="shared" si="9"/>
        <v>1</v>
      </c>
      <c r="S7">
        <f t="shared" si="10"/>
        <v>0</v>
      </c>
      <c r="T7">
        <f t="shared" si="11"/>
        <v>1</v>
      </c>
      <c r="U7" s="13" t="s">
        <v>43</v>
      </c>
      <c r="V7">
        <f t="shared" si="12"/>
        <v>0</v>
      </c>
      <c r="W7">
        <f t="shared" si="13"/>
        <v>0</v>
      </c>
      <c r="X7">
        <f t="shared" si="14"/>
        <v>0</v>
      </c>
      <c r="Y7">
        <f t="shared" si="15"/>
        <v>1</v>
      </c>
      <c r="Z7" s="13"/>
      <c r="AF7" s="20" t="s">
        <v>77</v>
      </c>
    </row>
    <row r="8" spans="1:32" ht="18" x14ac:dyDescent="0.25">
      <c r="A8" s="2" t="s">
        <v>6</v>
      </c>
      <c r="B8" s="2" t="s">
        <v>16</v>
      </c>
      <c r="C8" s="2">
        <f>C2-C1</f>
        <v>14714</v>
      </c>
      <c r="D8" s="2"/>
      <c r="E8" t="s">
        <v>35</v>
      </c>
      <c r="G8">
        <f t="shared" si="0"/>
        <v>0</v>
      </c>
      <c r="H8">
        <f t="shared" si="1"/>
        <v>0</v>
      </c>
      <c r="I8">
        <f t="shared" si="2"/>
        <v>1</v>
      </c>
      <c r="J8">
        <f t="shared" si="3"/>
        <v>1</v>
      </c>
      <c r="K8" s="13" t="s">
        <v>43</v>
      </c>
      <c r="L8">
        <f t="shared" si="4"/>
        <v>1</v>
      </c>
      <c r="M8">
        <f t="shared" si="5"/>
        <v>0</v>
      </c>
      <c r="N8">
        <f t="shared" si="6"/>
        <v>0</v>
      </c>
      <c r="O8">
        <f t="shared" si="7"/>
        <v>1</v>
      </c>
      <c r="P8" s="13" t="s">
        <v>43</v>
      </c>
      <c r="Q8">
        <f t="shared" si="8"/>
        <v>0</v>
      </c>
      <c r="R8">
        <f t="shared" si="9"/>
        <v>1</v>
      </c>
      <c r="S8">
        <f t="shared" si="10"/>
        <v>1</v>
      </c>
      <c r="T8">
        <f t="shared" si="11"/>
        <v>1</v>
      </c>
      <c r="U8" s="13" t="s">
        <v>43</v>
      </c>
      <c r="V8">
        <f t="shared" si="12"/>
        <v>1</v>
      </c>
      <c r="W8">
        <f t="shared" si="13"/>
        <v>0</v>
      </c>
      <c r="X8">
        <f t="shared" si="14"/>
        <v>1</v>
      </c>
      <c r="Y8">
        <f t="shared" si="15"/>
        <v>0</v>
      </c>
      <c r="Z8" s="13"/>
      <c r="AF8" s="20"/>
    </row>
    <row r="9" spans="1:32" ht="18" x14ac:dyDescent="0.25">
      <c r="A9" s="2" t="s">
        <v>7</v>
      </c>
      <c r="B9" s="1" t="s">
        <v>17</v>
      </c>
      <c r="C9" s="2">
        <f>65536-C7</f>
        <v>29871</v>
      </c>
      <c r="D9" s="2"/>
      <c r="E9" t="s">
        <v>36</v>
      </c>
      <c r="G9">
        <f t="shared" si="0"/>
        <v>0</v>
      </c>
      <c r="H9">
        <f t="shared" si="1"/>
        <v>1</v>
      </c>
      <c r="I9">
        <f t="shared" si="2"/>
        <v>1</v>
      </c>
      <c r="J9">
        <f t="shared" si="3"/>
        <v>1</v>
      </c>
      <c r="K9" s="13" t="s">
        <v>43</v>
      </c>
      <c r="L9">
        <f t="shared" si="4"/>
        <v>0</v>
      </c>
      <c r="M9">
        <f t="shared" si="5"/>
        <v>1</v>
      </c>
      <c r="N9">
        <f t="shared" si="6"/>
        <v>0</v>
      </c>
      <c r="O9">
        <f t="shared" si="7"/>
        <v>0</v>
      </c>
      <c r="P9" s="13" t="s">
        <v>43</v>
      </c>
      <c r="Q9">
        <f t="shared" si="8"/>
        <v>1</v>
      </c>
      <c r="R9">
        <f t="shared" si="9"/>
        <v>0</v>
      </c>
      <c r="S9">
        <f t="shared" si="10"/>
        <v>1</v>
      </c>
      <c r="T9">
        <f t="shared" si="11"/>
        <v>0</v>
      </c>
      <c r="U9" s="13" t="s">
        <v>43</v>
      </c>
      <c r="V9">
        <f t="shared" si="12"/>
        <v>1</v>
      </c>
      <c r="W9">
        <f t="shared" si="13"/>
        <v>1</v>
      </c>
      <c r="X9">
        <f t="shared" si="14"/>
        <v>1</v>
      </c>
      <c r="Y9">
        <f t="shared" si="15"/>
        <v>1</v>
      </c>
      <c r="Z9" s="13"/>
      <c r="AF9" s="20"/>
    </row>
    <row r="10" spans="1:32" ht="18" x14ac:dyDescent="0.25">
      <c r="A10" s="2" t="s">
        <v>8</v>
      </c>
      <c r="B10" s="3" t="s">
        <v>23</v>
      </c>
      <c r="C10" s="2">
        <f>-C4</f>
        <v>-2079</v>
      </c>
      <c r="D10" s="2"/>
      <c r="E10" t="s">
        <v>37</v>
      </c>
      <c r="F10" s="4" t="s">
        <v>44</v>
      </c>
      <c r="G10">
        <f t="shared" si="0"/>
        <v>1</v>
      </c>
      <c r="H10">
        <f t="shared" si="1"/>
        <v>1</v>
      </c>
      <c r="I10">
        <f t="shared" si="2"/>
        <v>1</v>
      </c>
      <c r="J10">
        <f t="shared" si="3"/>
        <v>1</v>
      </c>
      <c r="K10" s="13" t="s">
        <v>43</v>
      </c>
      <c r="L10">
        <f t="shared" si="4"/>
        <v>0</v>
      </c>
      <c r="M10">
        <f t="shared" si="5"/>
        <v>1</v>
      </c>
      <c r="N10">
        <f t="shared" si="6"/>
        <v>1</v>
      </c>
      <c r="O10">
        <f t="shared" si="7"/>
        <v>1</v>
      </c>
      <c r="P10" s="13" t="s">
        <v>43</v>
      </c>
      <c r="Q10">
        <f t="shared" si="8"/>
        <v>1</v>
      </c>
      <c r="R10">
        <f t="shared" si="9"/>
        <v>1</v>
      </c>
      <c r="S10">
        <f t="shared" si="10"/>
        <v>1</v>
      </c>
      <c r="T10">
        <f t="shared" si="11"/>
        <v>0</v>
      </c>
      <c r="U10" s="13" t="s">
        <v>43</v>
      </c>
      <c r="V10">
        <f t="shared" si="12"/>
        <v>0</v>
      </c>
      <c r="W10">
        <f t="shared" si="13"/>
        <v>0</v>
      </c>
      <c r="X10">
        <f t="shared" si="14"/>
        <v>0</v>
      </c>
      <c r="Y10">
        <f t="shared" si="15"/>
        <v>1</v>
      </c>
      <c r="Z10" s="13"/>
      <c r="AF10" s="20"/>
    </row>
    <row r="11" spans="1:32" ht="18" x14ac:dyDescent="0.25">
      <c r="A11" s="2" t="s">
        <v>9</v>
      </c>
      <c r="B11" s="3" t="s">
        <v>22</v>
      </c>
      <c r="C11" s="2">
        <f t="shared" ref="C11:C15" si="16">-C5</f>
        <v>-16793</v>
      </c>
      <c r="D11" s="2"/>
      <c r="E11" t="s">
        <v>38</v>
      </c>
      <c r="F11" s="5" t="s">
        <v>45</v>
      </c>
      <c r="G11">
        <f t="shared" si="0"/>
        <v>1</v>
      </c>
      <c r="H11">
        <f t="shared" si="1"/>
        <v>0</v>
      </c>
      <c r="I11">
        <f t="shared" si="2"/>
        <v>1</v>
      </c>
      <c r="J11">
        <f t="shared" si="3"/>
        <v>1</v>
      </c>
      <c r="K11" s="13" t="s">
        <v>43</v>
      </c>
      <c r="L11">
        <f t="shared" si="4"/>
        <v>1</v>
      </c>
      <c r="M11">
        <f t="shared" si="5"/>
        <v>1</v>
      </c>
      <c r="N11">
        <f t="shared" si="6"/>
        <v>1</v>
      </c>
      <c r="O11">
        <f t="shared" si="7"/>
        <v>0</v>
      </c>
      <c r="P11" s="13" t="s">
        <v>43</v>
      </c>
      <c r="Q11">
        <f t="shared" si="8"/>
        <v>0</v>
      </c>
      <c r="R11">
        <f t="shared" si="9"/>
        <v>1</v>
      </c>
      <c r="S11">
        <f t="shared" si="10"/>
        <v>1</v>
      </c>
      <c r="T11">
        <f t="shared" si="11"/>
        <v>0</v>
      </c>
      <c r="U11" s="13" t="s">
        <v>43</v>
      </c>
      <c r="V11">
        <f t="shared" si="12"/>
        <v>0</v>
      </c>
      <c r="W11">
        <f t="shared" si="13"/>
        <v>1</v>
      </c>
      <c r="X11">
        <f t="shared" si="14"/>
        <v>1</v>
      </c>
      <c r="Y11">
        <f t="shared" si="15"/>
        <v>1</v>
      </c>
      <c r="Z11" s="13"/>
    </row>
    <row r="12" spans="1:32" ht="18" x14ac:dyDescent="0.25">
      <c r="A12" s="2" t="s">
        <v>10</v>
      </c>
      <c r="B12" s="3" t="s">
        <v>21</v>
      </c>
      <c r="C12" s="2">
        <f t="shared" si="16"/>
        <v>-18872</v>
      </c>
      <c r="D12" s="2"/>
      <c r="E12" t="s">
        <v>39</v>
      </c>
      <c r="F12" s="4" t="s">
        <v>46</v>
      </c>
      <c r="G12">
        <f t="shared" si="0"/>
        <v>1</v>
      </c>
      <c r="H12">
        <f t="shared" si="1"/>
        <v>0</v>
      </c>
      <c r="I12">
        <f t="shared" si="2"/>
        <v>1</v>
      </c>
      <c r="J12">
        <f t="shared" si="3"/>
        <v>1</v>
      </c>
      <c r="K12" s="13" t="s">
        <v>43</v>
      </c>
      <c r="L12">
        <f t="shared" si="4"/>
        <v>0</v>
      </c>
      <c r="M12">
        <f t="shared" si="5"/>
        <v>1</v>
      </c>
      <c r="N12">
        <f t="shared" si="6"/>
        <v>1</v>
      </c>
      <c r="O12">
        <f t="shared" si="7"/>
        <v>0</v>
      </c>
      <c r="P12" s="13" t="s">
        <v>43</v>
      </c>
      <c r="Q12">
        <f t="shared" si="8"/>
        <v>0</v>
      </c>
      <c r="R12">
        <f t="shared" si="9"/>
        <v>1</v>
      </c>
      <c r="S12">
        <f t="shared" si="10"/>
        <v>0</v>
      </c>
      <c r="T12">
        <f t="shared" si="11"/>
        <v>0</v>
      </c>
      <c r="U12" s="13" t="s">
        <v>43</v>
      </c>
      <c r="V12">
        <f t="shared" si="12"/>
        <v>1</v>
      </c>
      <c r="W12">
        <f t="shared" si="13"/>
        <v>0</v>
      </c>
      <c r="X12">
        <f t="shared" si="14"/>
        <v>0</v>
      </c>
      <c r="Y12">
        <f t="shared" si="15"/>
        <v>0</v>
      </c>
      <c r="Z12" s="13"/>
    </row>
    <row r="13" spans="1:32" ht="18" x14ac:dyDescent="0.25">
      <c r="A13" s="2" t="s">
        <v>11</v>
      </c>
      <c r="B13" s="3" t="s">
        <v>20</v>
      </c>
      <c r="C13" s="2">
        <f t="shared" si="16"/>
        <v>-35665</v>
      </c>
      <c r="D13" s="2"/>
      <c r="E13" t="s">
        <v>40</v>
      </c>
      <c r="F13" s="5" t="s">
        <v>47</v>
      </c>
      <c r="G13">
        <f t="shared" si="0"/>
        <v>0</v>
      </c>
      <c r="H13">
        <f t="shared" si="1"/>
        <v>1</v>
      </c>
      <c r="I13">
        <f t="shared" si="2"/>
        <v>1</v>
      </c>
      <c r="J13">
        <f t="shared" si="3"/>
        <v>1</v>
      </c>
      <c r="K13" s="13" t="s">
        <v>43</v>
      </c>
      <c r="L13">
        <f t="shared" si="4"/>
        <v>0</v>
      </c>
      <c r="M13">
        <f t="shared" si="5"/>
        <v>1</v>
      </c>
      <c r="N13">
        <f t="shared" si="6"/>
        <v>0</v>
      </c>
      <c r="O13">
        <f t="shared" si="7"/>
        <v>0</v>
      </c>
      <c r="P13" s="13" t="s">
        <v>43</v>
      </c>
      <c r="Q13">
        <f t="shared" si="8"/>
        <v>1</v>
      </c>
      <c r="R13">
        <f t="shared" si="9"/>
        <v>0</v>
      </c>
      <c r="S13">
        <f t="shared" si="10"/>
        <v>1</v>
      </c>
      <c r="T13">
        <f t="shared" si="11"/>
        <v>0</v>
      </c>
      <c r="U13" s="13" t="s">
        <v>43</v>
      </c>
      <c r="V13">
        <f t="shared" si="12"/>
        <v>1</v>
      </c>
      <c r="W13">
        <f t="shared" si="13"/>
        <v>1</v>
      </c>
      <c r="X13">
        <f t="shared" si="14"/>
        <v>1</v>
      </c>
      <c r="Y13">
        <f t="shared" si="15"/>
        <v>1</v>
      </c>
      <c r="Z13" s="13"/>
    </row>
    <row r="14" spans="1:32" ht="18" x14ac:dyDescent="0.25">
      <c r="A14" s="2" t="s">
        <v>12</v>
      </c>
      <c r="B14" s="3" t="s">
        <v>19</v>
      </c>
      <c r="C14" s="2">
        <f t="shared" si="16"/>
        <v>-14714</v>
      </c>
      <c r="D14" s="2"/>
      <c r="E14" t="s">
        <v>41</v>
      </c>
      <c r="F14" s="4" t="s">
        <v>48</v>
      </c>
      <c r="G14">
        <f t="shared" si="0"/>
        <v>1</v>
      </c>
      <c r="H14">
        <f t="shared" si="1"/>
        <v>1</v>
      </c>
      <c r="I14">
        <f t="shared" si="2"/>
        <v>0</v>
      </c>
      <c r="J14">
        <f t="shared" si="3"/>
        <v>0</v>
      </c>
      <c r="K14" s="13" t="s">
        <v>43</v>
      </c>
      <c r="L14">
        <f t="shared" si="4"/>
        <v>0</v>
      </c>
      <c r="M14">
        <f t="shared" si="5"/>
        <v>1</v>
      </c>
      <c r="N14">
        <f t="shared" si="6"/>
        <v>1</v>
      </c>
      <c r="O14">
        <f t="shared" si="7"/>
        <v>0</v>
      </c>
      <c r="P14" s="13" t="s">
        <v>43</v>
      </c>
      <c r="Q14">
        <f t="shared" si="8"/>
        <v>1</v>
      </c>
      <c r="R14">
        <f t="shared" si="9"/>
        <v>0</v>
      </c>
      <c r="S14">
        <f t="shared" si="10"/>
        <v>0</v>
      </c>
      <c r="T14">
        <f t="shared" si="11"/>
        <v>0</v>
      </c>
      <c r="U14" s="13" t="s">
        <v>43</v>
      </c>
      <c r="V14">
        <f t="shared" si="12"/>
        <v>0</v>
      </c>
      <c r="W14">
        <f t="shared" si="13"/>
        <v>1</v>
      </c>
      <c r="X14">
        <f t="shared" si="14"/>
        <v>1</v>
      </c>
      <c r="Y14">
        <f t="shared" si="15"/>
        <v>0</v>
      </c>
      <c r="Z14" s="13"/>
    </row>
    <row r="15" spans="1:32" ht="18" x14ac:dyDescent="0.25">
      <c r="A15" s="2" t="s">
        <v>13</v>
      </c>
      <c r="B15" s="3" t="s">
        <v>18</v>
      </c>
      <c r="C15" s="2">
        <f t="shared" si="16"/>
        <v>-29871</v>
      </c>
      <c r="D15" s="2"/>
      <c r="E15" t="s">
        <v>42</v>
      </c>
      <c r="F15" s="5" t="s">
        <v>49</v>
      </c>
      <c r="G15">
        <f t="shared" si="0"/>
        <v>1</v>
      </c>
      <c r="H15">
        <f t="shared" si="1"/>
        <v>0</v>
      </c>
      <c r="I15">
        <f t="shared" si="2"/>
        <v>0</v>
      </c>
      <c r="J15">
        <f t="shared" si="3"/>
        <v>0</v>
      </c>
      <c r="K15" s="13" t="s">
        <v>43</v>
      </c>
      <c r="L15">
        <f t="shared" si="4"/>
        <v>1</v>
      </c>
      <c r="M15">
        <f t="shared" si="5"/>
        <v>0</v>
      </c>
      <c r="N15">
        <f t="shared" si="6"/>
        <v>1</v>
      </c>
      <c r="O15">
        <f t="shared" si="7"/>
        <v>1</v>
      </c>
      <c r="P15" s="13" t="s">
        <v>43</v>
      </c>
      <c r="Q15">
        <f t="shared" si="8"/>
        <v>0</v>
      </c>
      <c r="R15">
        <f t="shared" si="9"/>
        <v>1</v>
      </c>
      <c r="S15">
        <f t="shared" si="10"/>
        <v>0</v>
      </c>
      <c r="T15">
        <f t="shared" si="11"/>
        <v>1</v>
      </c>
      <c r="U15" s="13" t="s">
        <v>43</v>
      </c>
      <c r="V15">
        <f t="shared" si="12"/>
        <v>0</v>
      </c>
      <c r="W15">
        <f t="shared" si="13"/>
        <v>0</v>
      </c>
      <c r="X15">
        <f t="shared" si="14"/>
        <v>0</v>
      </c>
      <c r="Y15">
        <f t="shared" si="15"/>
        <v>1</v>
      </c>
      <c r="Z15" s="13"/>
    </row>
    <row r="16" spans="1:32" ht="18" x14ac:dyDescent="0.25">
      <c r="A16" s="2"/>
      <c r="B16" s="2"/>
      <c r="C16" s="2"/>
      <c r="D16" s="2"/>
      <c r="Z16" s="13"/>
    </row>
    <row r="17" spans="1:32" ht="18" x14ac:dyDescent="0.25">
      <c r="A17" s="2"/>
      <c r="B17" s="2"/>
      <c r="C17" s="2" t="s">
        <v>74</v>
      </c>
      <c r="E17" t="s">
        <v>58</v>
      </c>
      <c r="F17" s="15"/>
      <c r="G17" s="15">
        <f t="shared" ref="F17:P17" si="17">IF(ISNUMBER(H18), INT((H17+H19+H18)/2), H17)</f>
        <v>0</v>
      </c>
      <c r="H17" s="15">
        <f t="shared" si="17"/>
        <v>0</v>
      </c>
      <c r="I17" s="15">
        <f t="shared" si="17"/>
        <v>0</v>
      </c>
      <c r="J17" s="15">
        <f t="shared" si="17"/>
        <v>0</v>
      </c>
      <c r="K17" s="15">
        <f t="shared" si="17"/>
        <v>0</v>
      </c>
      <c r="L17" s="15">
        <f t="shared" si="17"/>
        <v>0</v>
      </c>
      <c r="M17" s="15">
        <f t="shared" si="17"/>
        <v>0</v>
      </c>
      <c r="N17" s="15">
        <f t="shared" si="17"/>
        <v>0</v>
      </c>
      <c r="O17" s="15">
        <f t="shared" si="17"/>
        <v>0</v>
      </c>
      <c r="P17" s="15">
        <f t="shared" si="17"/>
        <v>0</v>
      </c>
      <c r="Q17" s="15">
        <f t="shared" ref="Q17:W17" si="18">IF(ISNUMBER(R18), INT((R17+R19+R18)/2), R17)</f>
        <v>0</v>
      </c>
      <c r="R17" s="15">
        <f t="shared" si="18"/>
        <v>0</v>
      </c>
      <c r="S17" s="15">
        <f t="shared" si="18"/>
        <v>1</v>
      </c>
      <c r="T17" s="15">
        <f t="shared" si="18"/>
        <v>1</v>
      </c>
      <c r="U17" s="15">
        <f t="shared" si="18"/>
        <v>1</v>
      </c>
      <c r="V17" s="15">
        <f t="shared" si="18"/>
        <v>1</v>
      </c>
      <c r="W17" s="15">
        <f t="shared" si="18"/>
        <v>1</v>
      </c>
      <c r="X17" s="15">
        <f>IF(ISNUMBER(Y18), INT((Y17+Y19+Y18)/2), Y17)</f>
        <v>1</v>
      </c>
      <c r="Y17" s="15">
        <v>0</v>
      </c>
      <c r="Z17" s="13"/>
      <c r="AA17" s="15"/>
    </row>
    <row r="18" spans="1:32" ht="18" x14ac:dyDescent="0.25">
      <c r="A18" s="2"/>
      <c r="B18" s="2"/>
      <c r="C18" s="2"/>
      <c r="D18" s="9" t="s">
        <v>50</v>
      </c>
      <c r="E18" t="s">
        <v>25</v>
      </c>
      <c r="G18">
        <f>G4</f>
        <v>0</v>
      </c>
      <c r="H18">
        <f>H4</f>
        <v>0</v>
      </c>
      <c r="I18">
        <f>I4</f>
        <v>0</v>
      </c>
      <c r="J18">
        <f>J4</f>
        <v>0</v>
      </c>
      <c r="K18" s="11" t="s">
        <v>43</v>
      </c>
      <c r="L18">
        <f>L4</f>
        <v>1</v>
      </c>
      <c r="M18">
        <f>M4</f>
        <v>0</v>
      </c>
      <c r="N18">
        <f>N4</f>
        <v>0</v>
      </c>
      <c r="O18">
        <f>O4</f>
        <v>0</v>
      </c>
      <c r="P18" s="11" t="s">
        <v>43</v>
      </c>
      <c r="Q18">
        <f>Q4</f>
        <v>0</v>
      </c>
      <c r="R18">
        <f>R4</f>
        <v>0</v>
      </c>
      <c r="S18">
        <f>S4</f>
        <v>0</v>
      </c>
      <c r="T18">
        <f>T4</f>
        <v>1</v>
      </c>
      <c r="U18" s="11" t="s">
        <v>43</v>
      </c>
      <c r="V18">
        <f>V4</f>
        <v>1</v>
      </c>
      <c r="W18">
        <f>W4</f>
        <v>1</v>
      </c>
      <c r="X18">
        <f>X4</f>
        <v>1</v>
      </c>
      <c r="Y18">
        <f>Y4</f>
        <v>1</v>
      </c>
      <c r="Z18" s="13"/>
      <c r="AB18" s="12" t="s">
        <v>50</v>
      </c>
      <c r="AC18" t="s">
        <v>56</v>
      </c>
      <c r="AD18">
        <f>C4</f>
        <v>2079</v>
      </c>
    </row>
    <row r="19" spans="1:32" ht="18" x14ac:dyDescent="0.25">
      <c r="A19" s="2"/>
      <c r="B19" s="2"/>
      <c r="C19" s="2"/>
      <c r="D19" s="9"/>
      <c r="E19" t="s">
        <v>26</v>
      </c>
      <c r="G19" s="10">
        <f>G5</f>
        <v>0</v>
      </c>
      <c r="H19" s="10">
        <f>H5</f>
        <v>1</v>
      </c>
      <c r="I19" s="10">
        <f>I5</f>
        <v>0</v>
      </c>
      <c r="J19" s="10">
        <f>J5</f>
        <v>0</v>
      </c>
      <c r="K19" s="16" t="s">
        <v>43</v>
      </c>
      <c r="L19" s="10">
        <f>L5</f>
        <v>0</v>
      </c>
      <c r="M19" s="10">
        <f>M5</f>
        <v>0</v>
      </c>
      <c r="N19" s="10">
        <f>N5</f>
        <v>0</v>
      </c>
      <c r="O19" s="10">
        <f>O5</f>
        <v>1</v>
      </c>
      <c r="P19" s="16" t="s">
        <v>43</v>
      </c>
      <c r="Q19" s="10">
        <f>Q5</f>
        <v>1</v>
      </c>
      <c r="R19" s="10">
        <f>R5</f>
        <v>0</v>
      </c>
      <c r="S19" s="10">
        <f>S5</f>
        <v>0</v>
      </c>
      <c r="T19" s="10">
        <f>T5</f>
        <v>1</v>
      </c>
      <c r="U19" s="16" t="s">
        <v>43</v>
      </c>
      <c r="V19" s="10">
        <f>V5</f>
        <v>1</v>
      </c>
      <c r="W19" s="10">
        <f>W5</f>
        <v>0</v>
      </c>
      <c r="X19" s="10">
        <f>X5</f>
        <v>0</v>
      </c>
      <c r="Y19" s="10">
        <f>Y5</f>
        <v>1</v>
      </c>
      <c r="Z19" s="13"/>
      <c r="AB19" s="12"/>
      <c r="AC19" t="s">
        <v>57</v>
      </c>
      <c r="AD19" s="10">
        <f>C5</f>
        <v>16793</v>
      </c>
      <c r="AF19" s="17" t="str">
        <f>IF(AND(AD18&gt;0, AD19&gt;0, AA20&lt;0), $AF$7,
  IF(AND(AD18&lt;0, AD19&lt;0, AA20&gt;=0), $AF$6,
    IF(OR(AND(AD18&lt;0, AD19&lt;0), AND(AD18*AD19&lt;0, AA20&gt;=0)), $AF$5,
      $AF$4
    )
  )
)</f>
        <v>Результат корректный</v>
      </c>
    </row>
    <row r="20" spans="1:32" ht="18" x14ac:dyDescent="0.25">
      <c r="A20" s="2"/>
      <c r="B20" s="2"/>
      <c r="C20" s="2"/>
      <c r="D20" s="2"/>
      <c r="G20" s="17">
        <f t="shared" ref="G20:X20" si="19">IF(G17=".", ".", MOD(G19 + G18+G17, 2))</f>
        <v>0</v>
      </c>
      <c r="H20" s="17">
        <f t="shared" si="19"/>
        <v>1</v>
      </c>
      <c r="I20" s="17">
        <f t="shared" si="19"/>
        <v>0</v>
      </c>
      <c r="J20" s="17">
        <f t="shared" si="19"/>
        <v>0</v>
      </c>
      <c r="K20" s="17" t="s">
        <v>43</v>
      </c>
      <c r="L20" s="17">
        <f t="shared" si="19"/>
        <v>1</v>
      </c>
      <c r="M20" s="17">
        <f t="shared" si="19"/>
        <v>0</v>
      </c>
      <c r="N20" s="17">
        <f t="shared" si="19"/>
        <v>0</v>
      </c>
      <c r="O20" s="17">
        <f t="shared" si="19"/>
        <v>1</v>
      </c>
      <c r="P20" s="17" t="s">
        <v>43</v>
      </c>
      <c r="Q20" s="17">
        <f t="shared" si="19"/>
        <v>1</v>
      </c>
      <c r="R20" s="17">
        <f t="shared" si="19"/>
        <v>0</v>
      </c>
      <c r="S20" s="17">
        <f t="shared" si="19"/>
        <v>1</v>
      </c>
      <c r="T20" s="17">
        <f t="shared" si="19"/>
        <v>1</v>
      </c>
      <c r="U20" s="17" t="s">
        <v>43</v>
      </c>
      <c r="V20" s="17">
        <f t="shared" si="19"/>
        <v>1</v>
      </c>
      <c r="W20" s="17">
        <f t="shared" si="19"/>
        <v>0</v>
      </c>
      <c r="X20" s="17">
        <f t="shared" si="19"/>
        <v>0</v>
      </c>
      <c r="Y20" s="17">
        <f>IF(Y17=".", ".", MOD(Y19 + Y18+Y17, 2))</f>
        <v>0</v>
      </c>
      <c r="Z20" s="13" t="s">
        <v>55</v>
      </c>
      <c r="AA20" s="14">
        <f>-G20*32768 + H20*16384 + I20*8192 + J20*4096 + L20*2048 + M20*1024 + N20*512 + O20*256 + Q20*128 + R20*64 + S20*32 + T20*16 + V20*8 + W20*4 + X20*2 + Y20</f>
        <v>18872</v>
      </c>
      <c r="AD20">
        <f>AD19+AD18</f>
        <v>18872</v>
      </c>
    </row>
    <row r="21" spans="1:32" ht="18" x14ac:dyDescent="0.25">
      <c r="D21" s="2"/>
      <c r="K21" s="11"/>
      <c r="P21" s="11"/>
      <c r="U21" s="11"/>
      <c r="Z21" s="13"/>
    </row>
    <row r="22" spans="1:32" x14ac:dyDescent="0.2">
      <c r="G22" t="s">
        <v>51</v>
      </c>
      <c r="H22" s="19">
        <f>G17</f>
        <v>0</v>
      </c>
      <c r="J22" t="s">
        <v>52</v>
      </c>
      <c r="K22" s="19">
        <f>IF(MOD(SUM(Q20:T20, V20:Y20), 2)=0, 1, 0)</f>
        <v>1</v>
      </c>
      <c r="M22" t="s">
        <v>53</v>
      </c>
      <c r="N22" s="19">
        <f>X17</f>
        <v>1</v>
      </c>
      <c r="P22" t="s">
        <v>54</v>
      </c>
      <c r="Q22" s="19">
        <f>IF(SUM(G20:Y20)=0, 1, 0)</f>
        <v>0</v>
      </c>
      <c r="S22" t="s">
        <v>59</v>
      </c>
      <c r="T22" s="19">
        <f>G20</f>
        <v>0</v>
      </c>
      <c r="V22" t="s">
        <v>60</v>
      </c>
      <c r="W22" s="19">
        <f>MOD(H17+G17,2)</f>
        <v>0</v>
      </c>
      <c r="X22" s="18"/>
      <c r="Z22" s="13"/>
    </row>
    <row r="23" spans="1:32" x14ac:dyDescent="0.2">
      <c r="Z23" s="13"/>
    </row>
    <row r="24" spans="1:32" x14ac:dyDescent="0.2">
      <c r="C24" t="s">
        <v>73</v>
      </c>
      <c r="E24" t="s">
        <v>58</v>
      </c>
      <c r="F24" s="15"/>
      <c r="G24" s="15">
        <f t="shared" ref="G24:W24" si="20">IF(ISNUMBER(H25), INT((H24+H26+H25)/2), H24)</f>
        <v>1</v>
      </c>
      <c r="H24" s="15">
        <f t="shared" si="20"/>
        <v>0</v>
      </c>
      <c r="I24" s="15">
        <f t="shared" si="20"/>
        <v>0</v>
      </c>
      <c r="J24" s="15">
        <f t="shared" si="20"/>
        <v>0</v>
      </c>
      <c r="K24" s="15">
        <f t="shared" si="20"/>
        <v>0</v>
      </c>
      <c r="L24" s="15">
        <f t="shared" si="20"/>
        <v>0</v>
      </c>
      <c r="M24" s="15">
        <f t="shared" si="20"/>
        <v>0</v>
      </c>
      <c r="N24" s="15">
        <f t="shared" si="20"/>
        <v>1</v>
      </c>
      <c r="O24" s="15">
        <f t="shared" si="20"/>
        <v>1</v>
      </c>
      <c r="P24" s="15">
        <f t="shared" si="20"/>
        <v>1</v>
      </c>
      <c r="Q24" s="15">
        <f t="shared" si="20"/>
        <v>0</v>
      </c>
      <c r="R24" s="15">
        <f t="shared" si="20"/>
        <v>1</v>
      </c>
      <c r="S24" s="15">
        <f t="shared" si="20"/>
        <v>1</v>
      </c>
      <c r="T24" s="15">
        <f t="shared" si="20"/>
        <v>1</v>
      </c>
      <c r="U24" s="15">
        <f t="shared" si="20"/>
        <v>1</v>
      </c>
      <c r="V24" s="15">
        <f t="shared" si="20"/>
        <v>0</v>
      </c>
      <c r="W24" s="15">
        <f t="shared" si="20"/>
        <v>0</v>
      </c>
      <c r="X24" s="15">
        <f>IF(ISNUMBER(Y25), INT((Y24+Y26+Y25)/2), Y24)</f>
        <v>0</v>
      </c>
      <c r="Y24" s="15">
        <v>0</v>
      </c>
      <c r="Z24" s="13"/>
      <c r="AA24" s="15"/>
    </row>
    <row r="25" spans="1:32" ht="18" x14ac:dyDescent="0.25">
      <c r="D25" s="9" t="s">
        <v>50</v>
      </c>
      <c r="E25" t="s">
        <v>26</v>
      </c>
      <c r="G25">
        <f>G5</f>
        <v>0</v>
      </c>
      <c r="H25">
        <f t="shared" ref="H25:K25" si="21">H5</f>
        <v>1</v>
      </c>
      <c r="I25">
        <f t="shared" si="21"/>
        <v>0</v>
      </c>
      <c r="J25">
        <f t="shared" si="21"/>
        <v>0</v>
      </c>
      <c r="K25" t="str">
        <f t="shared" si="21"/>
        <v>.</v>
      </c>
      <c r="L25">
        <f t="shared" ref="L25:Y25" si="22">L5</f>
        <v>0</v>
      </c>
      <c r="M25">
        <f t="shared" si="22"/>
        <v>0</v>
      </c>
      <c r="N25">
        <f t="shared" si="22"/>
        <v>0</v>
      </c>
      <c r="O25">
        <f t="shared" si="22"/>
        <v>1</v>
      </c>
      <c r="P25" t="str">
        <f t="shared" si="22"/>
        <v>.</v>
      </c>
      <c r="Q25">
        <f t="shared" si="22"/>
        <v>1</v>
      </c>
      <c r="R25">
        <f t="shared" si="22"/>
        <v>0</v>
      </c>
      <c r="S25">
        <f t="shared" si="22"/>
        <v>0</v>
      </c>
      <c r="T25">
        <f t="shared" si="22"/>
        <v>1</v>
      </c>
      <c r="U25" t="str">
        <f t="shared" si="22"/>
        <v>.</v>
      </c>
      <c r="V25">
        <f t="shared" si="22"/>
        <v>1</v>
      </c>
      <c r="W25">
        <f t="shared" si="22"/>
        <v>0</v>
      </c>
      <c r="X25">
        <f t="shared" si="22"/>
        <v>0</v>
      </c>
      <c r="Y25">
        <f t="shared" si="22"/>
        <v>1</v>
      </c>
      <c r="Z25" s="13"/>
      <c r="AB25" s="12" t="s">
        <v>50</v>
      </c>
      <c r="AC25" t="s">
        <v>57</v>
      </c>
      <c r="AD25">
        <f>C5</f>
        <v>16793</v>
      </c>
      <c r="AF25" s="17"/>
    </row>
    <row r="26" spans="1:32" ht="18" x14ac:dyDescent="0.25">
      <c r="D26" s="9"/>
      <c r="E26" t="s">
        <v>27</v>
      </c>
      <c r="G26" s="10">
        <f>G6</f>
        <v>0</v>
      </c>
      <c r="H26" s="10">
        <f t="shared" ref="H26:K26" si="23">H6</f>
        <v>1</v>
      </c>
      <c r="I26" s="10">
        <f t="shared" si="23"/>
        <v>0</v>
      </c>
      <c r="J26" s="10">
        <f t="shared" si="23"/>
        <v>0</v>
      </c>
      <c r="K26" s="10" t="str">
        <f t="shared" si="23"/>
        <v>.</v>
      </c>
      <c r="L26" s="10">
        <f t="shared" ref="L26:Y26" si="24">L6</f>
        <v>1</v>
      </c>
      <c r="M26" s="10">
        <f t="shared" si="24"/>
        <v>0</v>
      </c>
      <c r="N26" s="10">
        <f t="shared" si="24"/>
        <v>0</v>
      </c>
      <c r="O26" s="10">
        <f t="shared" si="24"/>
        <v>1</v>
      </c>
      <c r="P26" s="10" t="str">
        <f t="shared" si="24"/>
        <v>.</v>
      </c>
      <c r="Q26" s="10">
        <f t="shared" si="24"/>
        <v>1</v>
      </c>
      <c r="R26" s="10">
        <f t="shared" si="24"/>
        <v>0</v>
      </c>
      <c r="S26" s="10">
        <f t="shared" si="24"/>
        <v>1</v>
      </c>
      <c r="T26" s="10">
        <f t="shared" si="24"/>
        <v>1</v>
      </c>
      <c r="U26" s="10" t="str">
        <f t="shared" si="24"/>
        <v>.</v>
      </c>
      <c r="V26" s="10">
        <f t="shared" si="24"/>
        <v>1</v>
      </c>
      <c r="W26" s="10">
        <f t="shared" si="24"/>
        <v>0</v>
      </c>
      <c r="X26" s="10">
        <f t="shared" si="24"/>
        <v>0</v>
      </c>
      <c r="Y26" s="10">
        <f t="shared" si="24"/>
        <v>0</v>
      </c>
      <c r="Z26" s="13"/>
      <c r="AB26" s="12"/>
      <c r="AC26" t="s">
        <v>61</v>
      </c>
      <c r="AD26" s="10">
        <f>C6</f>
        <v>18872</v>
      </c>
      <c r="AF26" s="17" t="str">
        <f>IF(AND(AD25&gt;0, AD26&gt;0, AA27&lt;0), $AF$7,
  IF(AND(AD25&lt;0, AD26&lt;0, AA27&gt;=0), $AF$6,
    IF(OR(AND(AD25&lt;0, AD26&lt;0), AND(AD25*AD26&lt;0, AA27&gt;=0)), $AF$5,
      $AF$4
    )
  )
)</f>
        <v>При сложении положительных чисел получен отрицательный результат - ПЕРЕПОЛНЕНИЕ</v>
      </c>
    </row>
    <row r="27" spans="1:32" ht="18" x14ac:dyDescent="0.25">
      <c r="D27" s="2"/>
      <c r="G27" s="17">
        <f t="shared" ref="G27" si="25">IF(G24=".", ".", MOD(G26 + G25+G24, 2))</f>
        <v>1</v>
      </c>
      <c r="H27" s="17">
        <f t="shared" ref="H27" si="26">IF(H24=".", ".", MOD(H26 + H25+H24, 2))</f>
        <v>0</v>
      </c>
      <c r="I27" s="17">
        <f t="shared" ref="I27" si="27">IF(I24=".", ".", MOD(I26 + I25+I24, 2))</f>
        <v>0</v>
      </c>
      <c r="J27" s="17">
        <f t="shared" ref="J27" si="28">IF(J24=".", ".", MOD(J26 + J25+J24, 2))</f>
        <v>0</v>
      </c>
      <c r="K27" s="17" t="s">
        <v>43</v>
      </c>
      <c r="L27" s="17">
        <f t="shared" ref="L27" si="29">IF(L24=".", ".", MOD(L26 + L25+L24, 2))</f>
        <v>1</v>
      </c>
      <c r="M27" s="17">
        <f t="shared" ref="M27" si="30">IF(M24=".", ".", MOD(M26 + M25+M24, 2))</f>
        <v>0</v>
      </c>
      <c r="N27" s="17">
        <f t="shared" ref="N27" si="31">IF(N24=".", ".", MOD(N26 + N25+N24, 2))</f>
        <v>1</v>
      </c>
      <c r="O27" s="17">
        <f t="shared" ref="O27" si="32">IF(O24=".", ".", MOD(O26 + O25+O24, 2))</f>
        <v>1</v>
      </c>
      <c r="P27" s="17" t="s">
        <v>43</v>
      </c>
      <c r="Q27" s="17">
        <f t="shared" ref="Q27" si="33">IF(Q24=".", ".", MOD(Q26 + Q25+Q24, 2))</f>
        <v>0</v>
      </c>
      <c r="R27" s="17">
        <f t="shared" ref="R27" si="34">IF(R24=".", ".", MOD(R26 + R25+R24, 2))</f>
        <v>1</v>
      </c>
      <c r="S27" s="17">
        <f t="shared" ref="S27" si="35">IF(S24=".", ".", MOD(S26 + S25+S24, 2))</f>
        <v>0</v>
      </c>
      <c r="T27" s="17">
        <f t="shared" ref="T27" si="36">IF(T24=".", ".", MOD(T26 + T25+T24, 2))</f>
        <v>1</v>
      </c>
      <c r="U27" s="17" t="s">
        <v>43</v>
      </c>
      <c r="V27" s="17">
        <f t="shared" ref="V27" si="37">IF(V24=".", ".", MOD(V26 + V25+V24, 2))</f>
        <v>0</v>
      </c>
      <c r="W27" s="17">
        <f t="shared" ref="W27" si="38">IF(W24=".", ".", MOD(W26 + W25+W24, 2))</f>
        <v>0</v>
      </c>
      <c r="X27" s="17">
        <f t="shared" ref="X27" si="39">IF(X24=".", ".", MOD(X26 + X25+X24, 2))</f>
        <v>0</v>
      </c>
      <c r="Y27" s="17">
        <f>IF(Y24=".", ".", MOD(Y26 + Y25+Y24, 2))</f>
        <v>1</v>
      </c>
      <c r="Z27" s="13" t="s">
        <v>55</v>
      </c>
      <c r="AA27" s="14">
        <f>-G27*32768 + H27*16384 + I27*8192 + J27*4096 + L27*2048 + M27*1024 + N27*512 + O27*256 + Q27*128 + R27*64 + S27*32 + T27*16 + V27*8 + W27*4 + X27*2 + Y27</f>
        <v>-29871</v>
      </c>
      <c r="AD27">
        <f>AD26+AD25</f>
        <v>35665</v>
      </c>
    </row>
    <row r="28" spans="1:32" ht="18" x14ac:dyDescent="0.25">
      <c r="D28" s="2"/>
      <c r="K28" s="11"/>
      <c r="P28" s="11"/>
      <c r="U28" s="11"/>
      <c r="Z28" s="13"/>
    </row>
    <row r="29" spans="1:32" x14ac:dyDescent="0.2">
      <c r="G29" t="s">
        <v>51</v>
      </c>
      <c r="H29" s="19">
        <f>G24</f>
        <v>1</v>
      </c>
      <c r="J29" t="s">
        <v>52</v>
      </c>
      <c r="K29" s="19">
        <f>IF(MOD(SUM(Q27:T27, V27:Y27), 2)=0, 1, 0)</f>
        <v>0</v>
      </c>
      <c r="M29" t="s">
        <v>53</v>
      </c>
      <c r="N29" s="19">
        <f>X24</f>
        <v>0</v>
      </c>
      <c r="P29" t="s">
        <v>54</v>
      </c>
      <c r="Q29" s="19">
        <f>IF(SUM(G27:Y27)=0, 1, 0)</f>
        <v>0</v>
      </c>
      <c r="S29" t="s">
        <v>59</v>
      </c>
      <c r="T29" s="19">
        <f>G27</f>
        <v>1</v>
      </c>
      <c r="V29" t="s">
        <v>60</v>
      </c>
      <c r="W29" s="19">
        <f>MOD(H24+G24,2)</f>
        <v>1</v>
      </c>
      <c r="X29" s="18"/>
      <c r="Z29" s="13"/>
    </row>
    <row r="30" spans="1:32" x14ac:dyDescent="0.2">
      <c r="Z30" s="13"/>
    </row>
    <row r="31" spans="1:32" x14ac:dyDescent="0.2">
      <c r="C31" t="s">
        <v>72</v>
      </c>
      <c r="E31" t="s">
        <v>58</v>
      </c>
      <c r="F31" s="15"/>
      <c r="G31" s="15">
        <f t="shared" ref="G31:W31" si="40">IF(ISNUMBER(H32), INT((H31+H33+H32)/2), H31)</f>
        <v>1</v>
      </c>
      <c r="H31" s="15">
        <f t="shared" si="40"/>
        <v>0</v>
      </c>
      <c r="I31" s="15">
        <f t="shared" si="40"/>
        <v>0</v>
      </c>
      <c r="J31" s="15">
        <f t="shared" si="40"/>
        <v>0</v>
      </c>
      <c r="K31" s="15">
        <f t="shared" si="40"/>
        <v>0</v>
      </c>
      <c r="L31" s="15">
        <f t="shared" si="40"/>
        <v>1</v>
      </c>
      <c r="M31" s="15">
        <f t="shared" si="40"/>
        <v>1</v>
      </c>
      <c r="N31" s="15">
        <f t="shared" si="40"/>
        <v>1</v>
      </c>
      <c r="O31" s="15">
        <f t="shared" si="40"/>
        <v>1</v>
      </c>
      <c r="P31" s="15">
        <f t="shared" si="40"/>
        <v>1</v>
      </c>
      <c r="Q31" s="15">
        <f t="shared" si="40"/>
        <v>0</v>
      </c>
      <c r="R31" s="15">
        <f t="shared" si="40"/>
        <v>0</v>
      </c>
      <c r="S31" s="15">
        <f t="shared" si="40"/>
        <v>0</v>
      </c>
      <c r="T31" s="15">
        <f t="shared" si="40"/>
        <v>0</v>
      </c>
      <c r="U31" s="15">
        <f t="shared" si="40"/>
        <v>0</v>
      </c>
      <c r="V31" s="15">
        <f t="shared" si="40"/>
        <v>0</v>
      </c>
      <c r="W31" s="15">
        <f t="shared" si="40"/>
        <v>0</v>
      </c>
      <c r="X31" s="15">
        <f>IF(ISNUMBER(Y32), INT((Y31+Y33+Y32)/2), Y31)</f>
        <v>1</v>
      </c>
      <c r="Y31" s="15">
        <v>0</v>
      </c>
      <c r="Z31" s="13"/>
      <c r="AA31" s="15"/>
    </row>
    <row r="32" spans="1:32" ht="18" x14ac:dyDescent="0.25">
      <c r="D32" s="9" t="s">
        <v>50</v>
      </c>
      <c r="E32" t="s">
        <v>26</v>
      </c>
      <c r="G32">
        <f>G5</f>
        <v>0</v>
      </c>
      <c r="H32">
        <f t="shared" ref="H32:Y32" si="41">H5</f>
        <v>1</v>
      </c>
      <c r="I32">
        <f t="shared" si="41"/>
        <v>0</v>
      </c>
      <c r="J32">
        <f t="shared" si="41"/>
        <v>0</v>
      </c>
      <c r="K32" t="str">
        <f t="shared" si="41"/>
        <v>.</v>
      </c>
      <c r="L32">
        <f t="shared" si="41"/>
        <v>0</v>
      </c>
      <c r="M32">
        <f t="shared" si="41"/>
        <v>0</v>
      </c>
      <c r="N32">
        <f t="shared" si="41"/>
        <v>0</v>
      </c>
      <c r="O32">
        <f t="shared" si="41"/>
        <v>1</v>
      </c>
      <c r="P32" t="str">
        <f t="shared" si="41"/>
        <v>.</v>
      </c>
      <c r="Q32">
        <f t="shared" si="41"/>
        <v>1</v>
      </c>
      <c r="R32">
        <f t="shared" si="41"/>
        <v>0</v>
      </c>
      <c r="S32">
        <f t="shared" si="41"/>
        <v>0</v>
      </c>
      <c r="T32">
        <f t="shared" si="41"/>
        <v>1</v>
      </c>
      <c r="U32" t="str">
        <f t="shared" si="41"/>
        <v>.</v>
      </c>
      <c r="V32">
        <f t="shared" si="41"/>
        <v>1</v>
      </c>
      <c r="W32">
        <f t="shared" si="41"/>
        <v>0</v>
      </c>
      <c r="X32">
        <f t="shared" si="41"/>
        <v>0</v>
      </c>
      <c r="Y32">
        <f t="shared" si="41"/>
        <v>1</v>
      </c>
      <c r="Z32" s="13"/>
      <c r="AB32" s="12" t="s">
        <v>50</v>
      </c>
      <c r="AC32" t="s">
        <v>57</v>
      </c>
      <c r="AD32">
        <f>C5</f>
        <v>16793</v>
      </c>
      <c r="AF32" s="17"/>
    </row>
    <row r="33" spans="3:32" ht="18" x14ac:dyDescent="0.25">
      <c r="D33" s="9"/>
      <c r="E33" t="s">
        <v>28</v>
      </c>
      <c r="G33" s="10">
        <f>G10</f>
        <v>1</v>
      </c>
      <c r="H33" s="10">
        <f t="shared" ref="H33:Y33" si="42">H10</f>
        <v>1</v>
      </c>
      <c r="I33" s="10">
        <f t="shared" si="42"/>
        <v>1</v>
      </c>
      <c r="J33" s="10">
        <f t="shared" si="42"/>
        <v>1</v>
      </c>
      <c r="K33" s="10" t="str">
        <f t="shared" si="42"/>
        <v>.</v>
      </c>
      <c r="L33" s="10">
        <f t="shared" si="42"/>
        <v>0</v>
      </c>
      <c r="M33" s="10">
        <f t="shared" si="42"/>
        <v>1</v>
      </c>
      <c r="N33" s="10">
        <f t="shared" si="42"/>
        <v>1</v>
      </c>
      <c r="O33" s="10">
        <f t="shared" si="42"/>
        <v>1</v>
      </c>
      <c r="P33" s="10" t="str">
        <f t="shared" si="42"/>
        <v>.</v>
      </c>
      <c r="Q33" s="10">
        <f t="shared" si="42"/>
        <v>1</v>
      </c>
      <c r="R33" s="10">
        <f t="shared" si="42"/>
        <v>1</v>
      </c>
      <c r="S33" s="10">
        <f t="shared" si="42"/>
        <v>1</v>
      </c>
      <c r="T33" s="10">
        <f t="shared" si="42"/>
        <v>0</v>
      </c>
      <c r="U33" s="10" t="str">
        <f t="shared" si="42"/>
        <v>.</v>
      </c>
      <c r="V33" s="10">
        <f t="shared" si="42"/>
        <v>0</v>
      </c>
      <c r="W33" s="10">
        <f t="shared" si="42"/>
        <v>0</v>
      </c>
      <c r="X33" s="10">
        <f t="shared" si="42"/>
        <v>0</v>
      </c>
      <c r="Y33" s="10">
        <f t="shared" si="42"/>
        <v>1</v>
      </c>
      <c r="Z33" s="13"/>
      <c r="AB33" s="12"/>
      <c r="AC33" t="s">
        <v>62</v>
      </c>
      <c r="AD33" s="10">
        <f>C10</f>
        <v>-2079</v>
      </c>
      <c r="AF33" s="17" t="str">
        <f>IF(AND(AD32&gt;0, AD33&gt;0, AA34&lt;0), $AF$7,
  IF(AND(AD32&lt;0, AD33&lt;0, AA34&gt;=0), $AF$6,
    IF(OR(AND(AD32&lt;0, AD33&lt;0), AND(AD32*AD33&lt;0, AA34&gt;=0)), $AF$5,
      $AF$4
    )
  )
)</f>
        <v>Результат корректный, перенос из старшего разряда не учитывается</v>
      </c>
    </row>
    <row r="34" spans="3:32" ht="18" x14ac:dyDescent="0.25">
      <c r="D34" s="2"/>
      <c r="G34" s="17">
        <f t="shared" ref="G34" si="43">IF(G31=".", ".", MOD(G33 + G32+G31, 2))</f>
        <v>0</v>
      </c>
      <c r="H34" s="17">
        <f t="shared" ref="H34" si="44">IF(H31=".", ".", MOD(H33 + H32+H31, 2))</f>
        <v>0</v>
      </c>
      <c r="I34" s="17">
        <f t="shared" ref="I34" si="45">IF(I31=".", ".", MOD(I33 + I32+I31, 2))</f>
        <v>1</v>
      </c>
      <c r="J34" s="17">
        <f t="shared" ref="J34" si="46">IF(J31=".", ".", MOD(J33 + J32+J31, 2))</f>
        <v>1</v>
      </c>
      <c r="K34" s="17" t="s">
        <v>43</v>
      </c>
      <c r="L34" s="17">
        <f t="shared" ref="L34" si="47">IF(L31=".", ".", MOD(L33 + L32+L31, 2))</f>
        <v>1</v>
      </c>
      <c r="M34" s="17">
        <f t="shared" ref="M34" si="48">IF(M31=".", ".", MOD(M33 + M32+M31, 2))</f>
        <v>0</v>
      </c>
      <c r="N34" s="17">
        <f t="shared" ref="N34" si="49">IF(N31=".", ".", MOD(N33 + N32+N31, 2))</f>
        <v>0</v>
      </c>
      <c r="O34" s="17">
        <f t="shared" ref="O34" si="50">IF(O31=".", ".", MOD(O33 + O32+O31, 2))</f>
        <v>1</v>
      </c>
      <c r="P34" s="17" t="s">
        <v>43</v>
      </c>
      <c r="Q34" s="17">
        <f t="shared" ref="Q34" si="51">IF(Q31=".", ".", MOD(Q33 + Q32+Q31, 2))</f>
        <v>0</v>
      </c>
      <c r="R34" s="17">
        <f t="shared" ref="R34" si="52">IF(R31=".", ".", MOD(R33 + R32+R31, 2))</f>
        <v>1</v>
      </c>
      <c r="S34" s="17">
        <f t="shared" ref="S34" si="53">IF(S31=".", ".", MOD(S33 + S32+S31, 2))</f>
        <v>1</v>
      </c>
      <c r="T34" s="17">
        <f t="shared" ref="T34" si="54">IF(T31=".", ".", MOD(T33 + T32+T31, 2))</f>
        <v>1</v>
      </c>
      <c r="U34" s="17" t="s">
        <v>43</v>
      </c>
      <c r="V34" s="17">
        <f t="shared" ref="V34" si="55">IF(V31=".", ".", MOD(V33 + V32+V31, 2))</f>
        <v>1</v>
      </c>
      <c r="W34" s="17">
        <f t="shared" ref="W34" si="56">IF(W31=".", ".", MOD(W33 + W32+W31, 2))</f>
        <v>0</v>
      </c>
      <c r="X34" s="17">
        <f t="shared" ref="X34" si="57">IF(X31=".", ".", MOD(X33 + X32+X31, 2))</f>
        <v>1</v>
      </c>
      <c r="Y34" s="17">
        <f>IF(Y31=".", ".", MOD(Y33 + Y32+Y31, 2))</f>
        <v>0</v>
      </c>
      <c r="Z34" s="13" t="s">
        <v>55</v>
      </c>
      <c r="AA34" s="14">
        <f>-G34*32768 + H34*16384 + I34*8192 + J34*4096 + L34*2048 + M34*1024 + N34*512 + O34*256 + Q34*128 + R34*64 + S34*32 + T34*16 + V34*8 + W34*4 + X34*2 + Y34</f>
        <v>14714</v>
      </c>
      <c r="AD34">
        <f>AD33+AD32</f>
        <v>14714</v>
      </c>
    </row>
    <row r="35" spans="3:32" ht="18" x14ac:dyDescent="0.25">
      <c r="D35" s="2"/>
      <c r="K35" s="11"/>
      <c r="P35" s="11"/>
      <c r="U35" s="11"/>
      <c r="Z35" s="13"/>
    </row>
    <row r="36" spans="3:32" x14ac:dyDescent="0.2">
      <c r="G36" t="s">
        <v>51</v>
      </c>
      <c r="H36" s="19">
        <f>G31</f>
        <v>1</v>
      </c>
      <c r="J36" t="s">
        <v>52</v>
      </c>
      <c r="K36" s="19">
        <f>IF(MOD(SUM(Q34:T34, V34:Y34), 2)=0, 1, 0)</f>
        <v>0</v>
      </c>
      <c r="M36" t="s">
        <v>53</v>
      </c>
      <c r="N36" s="19">
        <f>X31</f>
        <v>1</v>
      </c>
      <c r="P36" t="s">
        <v>54</v>
      </c>
      <c r="Q36" s="19">
        <f>IF(SUM(G34:Y34)=0, 1, 0)</f>
        <v>0</v>
      </c>
      <c r="S36" t="s">
        <v>59</v>
      </c>
      <c r="T36" s="19">
        <f>G34</f>
        <v>0</v>
      </c>
      <c r="V36" t="s">
        <v>60</v>
      </c>
      <c r="W36" s="19">
        <f>MOD(H31+G31,2)</f>
        <v>1</v>
      </c>
      <c r="X36" s="18"/>
      <c r="Z36" s="13"/>
    </row>
    <row r="37" spans="3:32" x14ac:dyDescent="0.2">
      <c r="Z37" s="13"/>
    </row>
    <row r="38" spans="3:32" x14ac:dyDescent="0.2">
      <c r="C38" t="s">
        <v>71</v>
      </c>
      <c r="E38" t="s">
        <v>58</v>
      </c>
      <c r="F38" s="15"/>
      <c r="G38" s="15">
        <f t="shared" ref="G38:W38" si="58">IF(ISNUMBER(H39), INT((H38+H40+H39)/2), H38)</f>
        <v>1</v>
      </c>
      <c r="H38" s="15">
        <f t="shared" si="58"/>
        <v>1</v>
      </c>
      <c r="I38" s="15">
        <f t="shared" si="58"/>
        <v>1</v>
      </c>
      <c r="J38" s="15">
        <f t="shared" si="58"/>
        <v>1</v>
      </c>
      <c r="K38" s="15">
        <f t="shared" si="58"/>
        <v>1</v>
      </c>
      <c r="L38" s="15">
        <f t="shared" si="58"/>
        <v>1</v>
      </c>
      <c r="M38" s="15">
        <f t="shared" si="58"/>
        <v>1</v>
      </c>
      <c r="N38" s="15">
        <f t="shared" si="58"/>
        <v>1</v>
      </c>
      <c r="O38" s="15">
        <f t="shared" si="58"/>
        <v>1</v>
      </c>
      <c r="P38" s="15">
        <f t="shared" si="58"/>
        <v>1</v>
      </c>
      <c r="Q38" s="15">
        <f t="shared" si="58"/>
        <v>1</v>
      </c>
      <c r="R38" s="15">
        <f t="shared" si="58"/>
        <v>1</v>
      </c>
      <c r="S38" s="15">
        <f t="shared" si="58"/>
        <v>0</v>
      </c>
      <c r="T38" s="15">
        <f t="shared" si="58"/>
        <v>0</v>
      </c>
      <c r="U38" s="15">
        <f t="shared" si="58"/>
        <v>0</v>
      </c>
      <c r="V38" s="15">
        <f t="shared" si="58"/>
        <v>1</v>
      </c>
      <c r="W38" s="15">
        <f t="shared" si="58"/>
        <v>1</v>
      </c>
      <c r="X38" s="15">
        <f>IF(ISNUMBER(Y39), INT((Y38+Y40+Y39)/2), Y38)</f>
        <v>1</v>
      </c>
      <c r="Y38" s="15">
        <v>0</v>
      </c>
      <c r="Z38" s="13"/>
      <c r="AA38" s="15"/>
    </row>
    <row r="39" spans="3:32" ht="18" x14ac:dyDescent="0.25">
      <c r="D39" s="9" t="s">
        <v>50</v>
      </c>
      <c r="E39" t="s">
        <v>28</v>
      </c>
      <c r="G39">
        <f>G10</f>
        <v>1</v>
      </c>
      <c r="H39">
        <f t="shared" ref="H39:Y39" si="59">H10</f>
        <v>1</v>
      </c>
      <c r="I39">
        <f t="shared" si="59"/>
        <v>1</v>
      </c>
      <c r="J39">
        <f t="shared" si="59"/>
        <v>1</v>
      </c>
      <c r="K39" t="str">
        <f t="shared" si="59"/>
        <v>.</v>
      </c>
      <c r="L39">
        <f t="shared" si="59"/>
        <v>0</v>
      </c>
      <c r="M39">
        <f t="shared" si="59"/>
        <v>1</v>
      </c>
      <c r="N39">
        <f t="shared" si="59"/>
        <v>1</v>
      </c>
      <c r="O39">
        <f t="shared" si="59"/>
        <v>1</v>
      </c>
      <c r="P39" t="str">
        <f t="shared" si="59"/>
        <v>.</v>
      </c>
      <c r="Q39">
        <f t="shared" si="59"/>
        <v>1</v>
      </c>
      <c r="R39">
        <f t="shared" si="59"/>
        <v>1</v>
      </c>
      <c r="S39">
        <f t="shared" si="59"/>
        <v>1</v>
      </c>
      <c r="T39">
        <f t="shared" si="59"/>
        <v>0</v>
      </c>
      <c r="U39" t="str">
        <f t="shared" si="59"/>
        <v>.</v>
      </c>
      <c r="V39">
        <f t="shared" si="59"/>
        <v>0</v>
      </c>
      <c r="W39">
        <f t="shared" si="59"/>
        <v>0</v>
      </c>
      <c r="X39">
        <f t="shared" si="59"/>
        <v>0</v>
      </c>
      <c r="Y39">
        <f t="shared" si="59"/>
        <v>1</v>
      </c>
      <c r="Z39" s="13"/>
      <c r="AB39" s="12" t="s">
        <v>50</v>
      </c>
      <c r="AC39" t="s">
        <v>62</v>
      </c>
      <c r="AD39">
        <f>C10</f>
        <v>-2079</v>
      </c>
      <c r="AF39" s="17"/>
    </row>
    <row r="40" spans="3:32" ht="18" x14ac:dyDescent="0.25">
      <c r="D40" s="9"/>
      <c r="E40" t="s">
        <v>29</v>
      </c>
      <c r="G40" s="10">
        <f>G11</f>
        <v>1</v>
      </c>
      <c r="H40" s="10">
        <f t="shared" ref="H40:Y40" si="60">H11</f>
        <v>0</v>
      </c>
      <c r="I40" s="10">
        <f t="shared" si="60"/>
        <v>1</v>
      </c>
      <c r="J40" s="10">
        <f t="shared" si="60"/>
        <v>1</v>
      </c>
      <c r="K40" s="10" t="str">
        <f t="shared" si="60"/>
        <v>.</v>
      </c>
      <c r="L40" s="10">
        <f t="shared" si="60"/>
        <v>1</v>
      </c>
      <c r="M40" s="10">
        <f t="shared" si="60"/>
        <v>1</v>
      </c>
      <c r="N40" s="10">
        <f t="shared" si="60"/>
        <v>1</v>
      </c>
      <c r="O40" s="10">
        <f t="shared" si="60"/>
        <v>0</v>
      </c>
      <c r="P40" s="10" t="str">
        <f t="shared" si="60"/>
        <v>.</v>
      </c>
      <c r="Q40" s="10">
        <f t="shared" si="60"/>
        <v>0</v>
      </c>
      <c r="R40" s="10">
        <f t="shared" si="60"/>
        <v>1</v>
      </c>
      <c r="S40" s="10">
        <f t="shared" si="60"/>
        <v>1</v>
      </c>
      <c r="T40" s="10">
        <f t="shared" si="60"/>
        <v>0</v>
      </c>
      <c r="U40" s="10" t="str">
        <f t="shared" si="60"/>
        <v>.</v>
      </c>
      <c r="V40" s="10">
        <f t="shared" si="60"/>
        <v>0</v>
      </c>
      <c r="W40" s="10">
        <f t="shared" si="60"/>
        <v>1</v>
      </c>
      <c r="X40" s="10">
        <f t="shared" si="60"/>
        <v>1</v>
      </c>
      <c r="Y40" s="10">
        <f t="shared" si="60"/>
        <v>1</v>
      </c>
      <c r="Z40" s="13"/>
      <c r="AB40" s="12"/>
      <c r="AC40" t="s">
        <v>63</v>
      </c>
      <c r="AD40" s="10">
        <f>C11</f>
        <v>-16793</v>
      </c>
      <c r="AF40" s="17" t="str">
        <f>IF(AND(AD39&gt;0, AD40&gt;0, AA41&lt;0), $AF$7,
  IF(AND(AD39&lt;0, AD40&lt;0, AA41&gt;=0), $AF$6,
    IF(OR(AND(AD39&lt;0, AD40&lt;0), AND(AD39*AD40&lt;0, AA41&gt;=0)), $AF$5,
      $AF$4
    )
  )
)</f>
        <v>Результат корректный, перенос из старшего разряда не учитывается</v>
      </c>
    </row>
    <row r="41" spans="3:32" ht="18" x14ac:dyDescent="0.25">
      <c r="D41" s="2"/>
      <c r="G41" s="17">
        <f t="shared" ref="G41" si="61">IF(G38=".", ".", MOD(G40 + G39+G38, 2))</f>
        <v>1</v>
      </c>
      <c r="H41" s="17">
        <f t="shared" ref="H41" si="62">IF(H38=".", ".", MOD(H40 + H39+H38, 2))</f>
        <v>0</v>
      </c>
      <c r="I41" s="17">
        <f t="shared" ref="I41" si="63">IF(I38=".", ".", MOD(I40 + I39+I38, 2))</f>
        <v>1</v>
      </c>
      <c r="J41" s="17">
        <f t="shared" ref="J41" si="64">IF(J38=".", ".", MOD(J40 + J39+J38, 2))</f>
        <v>1</v>
      </c>
      <c r="K41" s="17" t="s">
        <v>43</v>
      </c>
      <c r="L41" s="17">
        <f t="shared" ref="L41" si="65">IF(L38=".", ".", MOD(L40 + L39+L38, 2))</f>
        <v>0</v>
      </c>
      <c r="M41" s="17">
        <f t="shared" ref="M41" si="66">IF(M38=".", ".", MOD(M40 + M39+M38, 2))</f>
        <v>1</v>
      </c>
      <c r="N41" s="17">
        <f t="shared" ref="N41" si="67">IF(N38=".", ".", MOD(N40 + N39+N38, 2))</f>
        <v>1</v>
      </c>
      <c r="O41" s="17">
        <f t="shared" ref="O41" si="68">IF(O38=".", ".", MOD(O40 + O39+O38, 2))</f>
        <v>0</v>
      </c>
      <c r="P41" s="17" t="s">
        <v>43</v>
      </c>
      <c r="Q41" s="17">
        <f t="shared" ref="Q41" si="69">IF(Q38=".", ".", MOD(Q40 + Q39+Q38, 2))</f>
        <v>0</v>
      </c>
      <c r="R41" s="17">
        <f t="shared" ref="R41" si="70">IF(R38=".", ".", MOD(R40 + R39+R38, 2))</f>
        <v>1</v>
      </c>
      <c r="S41" s="17">
        <f t="shared" ref="S41" si="71">IF(S38=".", ".", MOD(S40 + S39+S38, 2))</f>
        <v>0</v>
      </c>
      <c r="T41" s="17">
        <f t="shared" ref="T41" si="72">IF(T38=".", ".", MOD(T40 + T39+T38, 2))</f>
        <v>0</v>
      </c>
      <c r="U41" s="17" t="s">
        <v>43</v>
      </c>
      <c r="V41" s="17">
        <f t="shared" ref="V41" si="73">IF(V38=".", ".", MOD(V40 + V39+V38, 2))</f>
        <v>1</v>
      </c>
      <c r="W41" s="17">
        <f t="shared" ref="W41" si="74">IF(W38=".", ".", MOD(W40 + W39+W38, 2))</f>
        <v>0</v>
      </c>
      <c r="X41" s="17">
        <f t="shared" ref="X41" si="75">IF(X38=".", ".", MOD(X40 + X39+X38, 2))</f>
        <v>0</v>
      </c>
      <c r="Y41" s="17">
        <f>IF(Y38=".", ".", MOD(Y40 + Y39+Y38, 2))</f>
        <v>0</v>
      </c>
      <c r="Z41" s="13" t="s">
        <v>55</v>
      </c>
      <c r="AA41" s="14">
        <f>-G41*32768 + H41*16384 + I41*8192 + J41*4096 + L41*2048 + M41*1024 + N41*512 + O41*256 + Q41*128 + R41*64 + S41*32 + T41*16 + V41*8 + W41*4 + X41*2 + Y41</f>
        <v>-18872</v>
      </c>
      <c r="AD41">
        <f>AD40+AD39</f>
        <v>-18872</v>
      </c>
    </row>
    <row r="42" spans="3:32" ht="18" x14ac:dyDescent="0.25">
      <c r="D42" s="2"/>
      <c r="K42" s="11"/>
      <c r="P42" s="11"/>
      <c r="U42" s="11"/>
      <c r="Z42" s="13"/>
    </row>
    <row r="43" spans="3:32" x14ac:dyDescent="0.2">
      <c r="G43" t="s">
        <v>51</v>
      </c>
      <c r="H43" s="19">
        <f>G38</f>
        <v>1</v>
      </c>
      <c r="J43" t="s">
        <v>52</v>
      </c>
      <c r="K43" s="19">
        <f>IF(MOD(SUM(Q41:T41, V41:Y41), 2)=0, 1, 0)</f>
        <v>1</v>
      </c>
      <c r="M43" t="s">
        <v>53</v>
      </c>
      <c r="N43" s="19">
        <f>X38</f>
        <v>1</v>
      </c>
      <c r="P43" t="s">
        <v>54</v>
      </c>
      <c r="Q43" s="19">
        <f>IF(SUM(G41:Y41)=0, 1, 0)</f>
        <v>0</v>
      </c>
      <c r="S43" t="s">
        <v>59</v>
      </c>
      <c r="T43" s="19">
        <f>G41</f>
        <v>1</v>
      </c>
      <c r="U43" s="11"/>
      <c r="V43" t="s">
        <v>60</v>
      </c>
      <c r="W43" s="19">
        <f>MOD(H38+G38,2)</f>
        <v>0</v>
      </c>
      <c r="X43" s="18"/>
      <c r="Z43" s="13"/>
    </row>
    <row r="44" spans="3:32" x14ac:dyDescent="0.2">
      <c r="U44" s="11"/>
      <c r="Z44" s="13"/>
    </row>
    <row r="45" spans="3:32" x14ac:dyDescent="0.2">
      <c r="C45" t="s">
        <v>70</v>
      </c>
      <c r="E45" t="s">
        <v>58</v>
      </c>
      <c r="F45" s="15"/>
      <c r="G45" s="15">
        <f t="shared" ref="G45:W45" si="76">IF(ISNUMBER(H46), INT((H45+H47+H46)/2), H45)</f>
        <v>0</v>
      </c>
      <c r="H45" s="15">
        <f t="shared" si="76"/>
        <v>1</v>
      </c>
      <c r="I45" s="15">
        <f t="shared" si="76"/>
        <v>1</v>
      </c>
      <c r="J45" s="15">
        <f t="shared" si="76"/>
        <v>1</v>
      </c>
      <c r="K45" s="15">
        <f t="shared" si="76"/>
        <v>1</v>
      </c>
      <c r="L45" s="15">
        <f t="shared" si="76"/>
        <v>1</v>
      </c>
      <c r="M45" s="15">
        <f t="shared" si="76"/>
        <v>1</v>
      </c>
      <c r="N45" s="15">
        <f t="shared" si="76"/>
        <v>0</v>
      </c>
      <c r="O45" s="15">
        <f t="shared" si="76"/>
        <v>0</v>
      </c>
      <c r="P45" s="15">
        <f t="shared" si="76"/>
        <v>0</v>
      </c>
      <c r="Q45" s="15">
        <f t="shared" si="76"/>
        <v>1</v>
      </c>
      <c r="R45" s="15">
        <f t="shared" si="76"/>
        <v>0</v>
      </c>
      <c r="S45" s="15">
        <f t="shared" si="76"/>
        <v>0</v>
      </c>
      <c r="T45" s="15">
        <f t="shared" si="76"/>
        <v>0</v>
      </c>
      <c r="U45" s="15">
        <f t="shared" si="76"/>
        <v>0</v>
      </c>
      <c r="V45" s="15">
        <f t="shared" si="76"/>
        <v>0</v>
      </c>
      <c r="W45" s="15">
        <f t="shared" si="76"/>
        <v>0</v>
      </c>
      <c r="X45" s="15">
        <f>IF(ISNUMBER(Y46), INT((Y45+Y47+Y46)/2), Y45)</f>
        <v>0</v>
      </c>
      <c r="Y45" s="15">
        <v>0</v>
      </c>
      <c r="Z45" s="13"/>
      <c r="AA45" s="15"/>
    </row>
    <row r="46" spans="3:32" ht="18" x14ac:dyDescent="0.25">
      <c r="D46" s="9" t="s">
        <v>50</v>
      </c>
      <c r="E46" t="s">
        <v>29</v>
      </c>
      <c r="G46">
        <f>G11</f>
        <v>1</v>
      </c>
      <c r="H46">
        <f t="shared" ref="H46:Y46" si="77">H11</f>
        <v>0</v>
      </c>
      <c r="I46">
        <f t="shared" si="77"/>
        <v>1</v>
      </c>
      <c r="J46">
        <f t="shared" si="77"/>
        <v>1</v>
      </c>
      <c r="K46" t="str">
        <f t="shared" si="77"/>
        <v>.</v>
      </c>
      <c r="L46">
        <f t="shared" si="77"/>
        <v>1</v>
      </c>
      <c r="M46">
        <f t="shared" si="77"/>
        <v>1</v>
      </c>
      <c r="N46">
        <f t="shared" si="77"/>
        <v>1</v>
      </c>
      <c r="O46">
        <f t="shared" si="77"/>
        <v>0</v>
      </c>
      <c r="P46" t="str">
        <f t="shared" si="77"/>
        <v>.</v>
      </c>
      <c r="Q46">
        <f t="shared" si="77"/>
        <v>0</v>
      </c>
      <c r="R46">
        <f t="shared" si="77"/>
        <v>1</v>
      </c>
      <c r="S46">
        <f t="shared" si="77"/>
        <v>1</v>
      </c>
      <c r="T46">
        <f t="shared" si="77"/>
        <v>0</v>
      </c>
      <c r="U46" t="str">
        <f t="shared" si="77"/>
        <v>.</v>
      </c>
      <c r="V46">
        <f t="shared" si="77"/>
        <v>0</v>
      </c>
      <c r="W46">
        <f t="shared" si="77"/>
        <v>1</v>
      </c>
      <c r="X46">
        <f t="shared" si="77"/>
        <v>1</v>
      </c>
      <c r="Y46">
        <f t="shared" si="77"/>
        <v>1</v>
      </c>
      <c r="Z46" s="13"/>
      <c r="AB46" s="12" t="s">
        <v>50</v>
      </c>
      <c r="AC46" t="s">
        <v>63</v>
      </c>
      <c r="AD46">
        <f>C11</f>
        <v>-16793</v>
      </c>
      <c r="AF46" s="17"/>
    </row>
    <row r="47" spans="3:32" ht="18" x14ac:dyDescent="0.25">
      <c r="D47" s="9"/>
      <c r="E47" t="s">
        <v>30</v>
      </c>
      <c r="G47" s="10">
        <f>G12</f>
        <v>1</v>
      </c>
      <c r="H47" s="10">
        <f t="shared" ref="H47:Y47" si="78">H12</f>
        <v>0</v>
      </c>
      <c r="I47" s="10">
        <f t="shared" si="78"/>
        <v>1</v>
      </c>
      <c r="J47" s="10">
        <f t="shared" si="78"/>
        <v>1</v>
      </c>
      <c r="K47" s="10" t="str">
        <f t="shared" si="78"/>
        <v>.</v>
      </c>
      <c r="L47" s="10">
        <f t="shared" si="78"/>
        <v>0</v>
      </c>
      <c r="M47" s="10">
        <f t="shared" si="78"/>
        <v>1</v>
      </c>
      <c r="N47" s="10">
        <f t="shared" si="78"/>
        <v>1</v>
      </c>
      <c r="O47" s="10">
        <f t="shared" si="78"/>
        <v>0</v>
      </c>
      <c r="P47" s="10" t="str">
        <f t="shared" si="78"/>
        <v>.</v>
      </c>
      <c r="Q47" s="10">
        <f t="shared" si="78"/>
        <v>0</v>
      </c>
      <c r="R47" s="10">
        <f t="shared" si="78"/>
        <v>1</v>
      </c>
      <c r="S47" s="10">
        <f t="shared" si="78"/>
        <v>0</v>
      </c>
      <c r="T47" s="10">
        <f t="shared" si="78"/>
        <v>0</v>
      </c>
      <c r="U47" s="10" t="str">
        <f t="shared" si="78"/>
        <v>.</v>
      </c>
      <c r="V47" s="10">
        <f t="shared" si="78"/>
        <v>1</v>
      </c>
      <c r="W47" s="10">
        <f t="shared" si="78"/>
        <v>0</v>
      </c>
      <c r="X47" s="10">
        <f t="shared" si="78"/>
        <v>0</v>
      </c>
      <c r="Y47" s="10">
        <f t="shared" si="78"/>
        <v>0</v>
      </c>
      <c r="Z47" s="13"/>
      <c r="AB47" s="12"/>
      <c r="AC47" t="s">
        <v>64</v>
      </c>
      <c r="AD47" s="10">
        <f>C12</f>
        <v>-18872</v>
      </c>
      <c r="AF47" s="17" t="str">
        <f>IF(AND(AD46&gt;0, AD47&gt;0, AA48&lt;0), $AF$7,
  IF(AND(AD46&lt;0, AD47&lt;0, AA48&gt;=0), $AF$6,
    IF(OR(AND(AD46&lt;0, AD47&lt;0), AND(AD46*AD47&lt;0, AA48&gt;=0)), $AF$5,
      $AF$4
    )
  )
)</f>
        <v>При сложении отрицательных чисел получен положительный результат - ПЕРЕПОЛНЕНИЕ</v>
      </c>
    </row>
    <row r="48" spans="3:32" ht="18" x14ac:dyDescent="0.25">
      <c r="D48" s="2"/>
      <c r="G48" s="17">
        <f t="shared" ref="G48" si="79">IF(G45=".", ".", MOD(G47 + G46+G45, 2))</f>
        <v>0</v>
      </c>
      <c r="H48" s="17">
        <f t="shared" ref="H48" si="80">IF(H45=".", ".", MOD(H47 + H46+H45, 2))</f>
        <v>1</v>
      </c>
      <c r="I48" s="17">
        <f t="shared" ref="I48" si="81">IF(I45=".", ".", MOD(I47 + I46+I45, 2))</f>
        <v>1</v>
      </c>
      <c r="J48" s="17">
        <f t="shared" ref="J48" si="82">IF(J45=".", ".", MOD(J47 + J46+J45, 2))</f>
        <v>1</v>
      </c>
      <c r="K48" s="17" t="s">
        <v>43</v>
      </c>
      <c r="L48" s="17">
        <f t="shared" ref="L48" si="83">IF(L45=".", ".", MOD(L47 + L46+L45, 2))</f>
        <v>0</v>
      </c>
      <c r="M48" s="17">
        <f t="shared" ref="M48" si="84">IF(M45=".", ".", MOD(M47 + M46+M45, 2))</f>
        <v>1</v>
      </c>
      <c r="N48" s="17">
        <f t="shared" ref="N48" si="85">IF(N45=".", ".", MOD(N47 + N46+N45, 2))</f>
        <v>0</v>
      </c>
      <c r="O48" s="17">
        <f t="shared" ref="O48" si="86">IF(O45=".", ".", MOD(O47 + O46+O45, 2))</f>
        <v>0</v>
      </c>
      <c r="P48" s="17" t="s">
        <v>43</v>
      </c>
      <c r="Q48" s="17">
        <f t="shared" ref="Q48" si="87">IF(Q45=".", ".", MOD(Q47 + Q46+Q45, 2))</f>
        <v>1</v>
      </c>
      <c r="R48" s="17">
        <f t="shared" ref="R48" si="88">IF(R45=".", ".", MOD(R47 + R46+R45, 2))</f>
        <v>0</v>
      </c>
      <c r="S48" s="17">
        <f t="shared" ref="S48" si="89">IF(S45=".", ".", MOD(S47 + S46+S45, 2))</f>
        <v>1</v>
      </c>
      <c r="T48" s="17">
        <f t="shared" ref="T48" si="90">IF(T45=".", ".", MOD(T47 + T46+T45, 2))</f>
        <v>0</v>
      </c>
      <c r="U48" s="17" t="s">
        <v>43</v>
      </c>
      <c r="V48" s="17">
        <f t="shared" ref="V48" si="91">IF(V45=".", ".", MOD(V47 + V46+V45, 2))</f>
        <v>1</v>
      </c>
      <c r="W48" s="17">
        <f t="shared" ref="W48" si="92">IF(W45=".", ".", MOD(W47 + W46+W45, 2))</f>
        <v>1</v>
      </c>
      <c r="X48" s="17">
        <f t="shared" ref="X48" si="93">IF(X45=".", ".", MOD(X47 + X46+X45, 2))</f>
        <v>1</v>
      </c>
      <c r="Y48" s="17">
        <f>IF(Y45=".", ".", MOD(Y47 + Y46+Y45, 2))</f>
        <v>1</v>
      </c>
      <c r="Z48" s="13" t="s">
        <v>55</v>
      </c>
      <c r="AA48" s="14">
        <f>-G48*32768 + H48*16384 + I48*8192 + J48*4096 + L48*2048 + M48*1024 + N48*512 + O48*256 + Q48*128 + R48*64 + S48*32 + T48*16 + V48*8 + W48*4 + X48*2 + Y48-IF(G48=1,65536,0)</f>
        <v>29871</v>
      </c>
      <c r="AD48">
        <f>AD47+AD46</f>
        <v>-35665</v>
      </c>
    </row>
    <row r="49" spans="3:32" ht="18" x14ac:dyDescent="0.25">
      <c r="D49" s="2"/>
      <c r="K49" s="11"/>
      <c r="P49" s="11"/>
      <c r="U49" s="11"/>
      <c r="Z49" s="13"/>
    </row>
    <row r="50" spans="3:32" x14ac:dyDescent="0.2">
      <c r="G50" t="s">
        <v>51</v>
      </c>
      <c r="H50" s="19">
        <f>G45</f>
        <v>0</v>
      </c>
      <c r="J50" t="s">
        <v>52</v>
      </c>
      <c r="K50" s="19">
        <f>IF(MOD(SUM(Q48:T48, V48:Y48), 2)=0, 1, 0)</f>
        <v>1</v>
      </c>
      <c r="M50" t="s">
        <v>53</v>
      </c>
      <c r="N50" s="19">
        <f>X45</f>
        <v>0</v>
      </c>
      <c r="P50" t="s">
        <v>54</v>
      </c>
      <c r="Q50" s="19">
        <f>IF(SUM(G48:Y48)=0, 1, 0)</f>
        <v>0</v>
      </c>
      <c r="S50" t="s">
        <v>59</v>
      </c>
      <c r="T50" s="19">
        <f>G48</f>
        <v>0</v>
      </c>
      <c r="V50" t="s">
        <v>60</v>
      </c>
      <c r="W50" s="19">
        <f>MOD(H45+G45,2)</f>
        <v>1</v>
      </c>
      <c r="X50" s="18"/>
      <c r="Z50" s="13"/>
    </row>
    <row r="51" spans="3:32" x14ac:dyDescent="0.2">
      <c r="Z51" s="13"/>
    </row>
    <row r="52" spans="3:32" x14ac:dyDescent="0.2">
      <c r="C52" t="s">
        <v>69</v>
      </c>
      <c r="E52" t="s">
        <v>58</v>
      </c>
      <c r="F52" s="15"/>
      <c r="G52" s="15">
        <f t="shared" ref="G52:W52" si="94">IF(ISNUMBER(H53), INT((H52+H54+H53)/2), H52)</f>
        <v>0</v>
      </c>
      <c r="H52" s="15">
        <f t="shared" si="94"/>
        <v>1</v>
      </c>
      <c r="I52" s="15">
        <f t="shared" si="94"/>
        <v>1</v>
      </c>
      <c r="J52" s="15">
        <f t="shared" si="94"/>
        <v>1</v>
      </c>
      <c r="K52" s="15">
        <f t="shared" si="94"/>
        <v>1</v>
      </c>
      <c r="L52" s="15">
        <f t="shared" si="94"/>
        <v>0</v>
      </c>
      <c r="M52" s="15">
        <f t="shared" si="94"/>
        <v>0</v>
      </c>
      <c r="N52" s="15">
        <f t="shared" si="94"/>
        <v>0</v>
      </c>
      <c r="O52" s="15">
        <f t="shared" si="94"/>
        <v>0</v>
      </c>
      <c r="P52" s="15">
        <f t="shared" si="94"/>
        <v>0</v>
      </c>
      <c r="Q52" s="15">
        <f t="shared" si="94"/>
        <v>1</v>
      </c>
      <c r="R52" s="15">
        <f t="shared" si="94"/>
        <v>1</v>
      </c>
      <c r="S52" s="15">
        <f t="shared" si="94"/>
        <v>1</v>
      </c>
      <c r="T52" s="15">
        <f t="shared" si="94"/>
        <v>1</v>
      </c>
      <c r="U52" s="15">
        <f t="shared" si="94"/>
        <v>1</v>
      </c>
      <c r="V52" s="15">
        <f t="shared" si="94"/>
        <v>1</v>
      </c>
      <c r="W52" s="15">
        <f t="shared" si="94"/>
        <v>1</v>
      </c>
      <c r="X52" s="15">
        <f>IF(ISNUMBER(Y53), INT((Y52+Y54+Y53)/2), Y52)</f>
        <v>1</v>
      </c>
      <c r="Y52" s="15">
        <v>0</v>
      </c>
      <c r="Z52" s="13"/>
      <c r="AA52" s="15"/>
    </row>
    <row r="53" spans="3:32" x14ac:dyDescent="0.2">
      <c r="D53" s="9" t="s">
        <v>50</v>
      </c>
      <c r="E53" t="s">
        <v>25</v>
      </c>
      <c r="G53">
        <f>G4</f>
        <v>0</v>
      </c>
      <c r="H53">
        <f t="shared" ref="H53:Y53" si="95">H4</f>
        <v>0</v>
      </c>
      <c r="I53">
        <f t="shared" si="95"/>
        <v>0</v>
      </c>
      <c r="J53">
        <f t="shared" si="95"/>
        <v>0</v>
      </c>
      <c r="K53" t="str">
        <f t="shared" si="95"/>
        <v>.</v>
      </c>
      <c r="L53">
        <f t="shared" si="95"/>
        <v>1</v>
      </c>
      <c r="M53">
        <f t="shared" si="95"/>
        <v>0</v>
      </c>
      <c r="N53">
        <f t="shared" si="95"/>
        <v>0</v>
      </c>
      <c r="O53">
        <f t="shared" si="95"/>
        <v>0</v>
      </c>
      <c r="P53" t="str">
        <f t="shared" si="95"/>
        <v>.</v>
      </c>
      <c r="Q53">
        <f t="shared" si="95"/>
        <v>0</v>
      </c>
      <c r="R53">
        <f t="shared" si="95"/>
        <v>0</v>
      </c>
      <c r="S53">
        <f t="shared" si="95"/>
        <v>0</v>
      </c>
      <c r="T53">
        <f t="shared" si="95"/>
        <v>1</v>
      </c>
      <c r="U53" t="str">
        <f t="shared" si="95"/>
        <v>.</v>
      </c>
      <c r="V53">
        <f t="shared" si="95"/>
        <v>1</v>
      </c>
      <c r="W53">
        <f t="shared" si="95"/>
        <v>1</v>
      </c>
      <c r="X53">
        <f t="shared" si="95"/>
        <v>1</v>
      </c>
      <c r="Y53">
        <f t="shared" si="95"/>
        <v>1</v>
      </c>
      <c r="Z53" s="13"/>
      <c r="AB53" s="12" t="s">
        <v>50</v>
      </c>
      <c r="AC53" t="s">
        <v>56</v>
      </c>
      <c r="AD53">
        <f>C4</f>
        <v>2079</v>
      </c>
    </row>
    <row r="54" spans="3:32" ht="18" x14ac:dyDescent="0.25">
      <c r="D54" s="9"/>
      <c r="E54" t="s">
        <v>29</v>
      </c>
      <c r="G54" s="10">
        <f>G11</f>
        <v>1</v>
      </c>
      <c r="H54" s="10">
        <f t="shared" ref="H54:Y54" si="96">H11</f>
        <v>0</v>
      </c>
      <c r="I54" s="10">
        <f t="shared" si="96"/>
        <v>1</v>
      </c>
      <c r="J54" s="10">
        <f t="shared" si="96"/>
        <v>1</v>
      </c>
      <c r="K54" s="10" t="str">
        <f t="shared" si="96"/>
        <v>.</v>
      </c>
      <c r="L54" s="10">
        <f t="shared" si="96"/>
        <v>1</v>
      </c>
      <c r="M54" s="10">
        <f t="shared" si="96"/>
        <v>1</v>
      </c>
      <c r="N54" s="10">
        <f t="shared" si="96"/>
        <v>1</v>
      </c>
      <c r="O54" s="10">
        <f t="shared" si="96"/>
        <v>0</v>
      </c>
      <c r="P54" s="10" t="str">
        <f t="shared" si="96"/>
        <v>.</v>
      </c>
      <c r="Q54" s="10">
        <f t="shared" si="96"/>
        <v>0</v>
      </c>
      <c r="R54" s="10">
        <f t="shared" si="96"/>
        <v>1</v>
      </c>
      <c r="S54" s="10">
        <f t="shared" si="96"/>
        <v>1</v>
      </c>
      <c r="T54" s="10">
        <f t="shared" si="96"/>
        <v>0</v>
      </c>
      <c r="U54" s="10" t="str">
        <f t="shared" si="96"/>
        <v>.</v>
      </c>
      <c r="V54" s="10">
        <f t="shared" si="96"/>
        <v>0</v>
      </c>
      <c r="W54" s="10">
        <f t="shared" si="96"/>
        <v>1</v>
      </c>
      <c r="X54" s="10">
        <f t="shared" si="96"/>
        <v>1</v>
      </c>
      <c r="Y54" s="10">
        <f t="shared" si="96"/>
        <v>1</v>
      </c>
      <c r="Z54" s="13"/>
      <c r="AB54" s="12"/>
      <c r="AC54" t="s">
        <v>63</v>
      </c>
      <c r="AD54" s="10">
        <f>C11</f>
        <v>-16793</v>
      </c>
      <c r="AF54" s="17" t="str">
        <f>IF(AND(AD53&gt;0, AD54&gt;0, AA55&lt;0), $AF$7,
  IF(AND(AD53&lt;0, AD54&lt;0, AA55&gt;=0), $AF$6,
    IF(OR(AND(AD53&lt;0, AD54&lt;0), AND(AD53*AD54&lt;0, AA55&gt;=0)), $AF$5,
      $AF$4
    )
  )
)</f>
        <v>Результат корректный</v>
      </c>
    </row>
    <row r="55" spans="3:32" ht="18" x14ac:dyDescent="0.25">
      <c r="D55" s="2"/>
      <c r="G55" s="17">
        <f t="shared" ref="G55" si="97">IF(G52=".", ".", MOD(G54 + G53+G52, 2))</f>
        <v>1</v>
      </c>
      <c r="H55" s="17">
        <f t="shared" ref="H55" si="98">IF(H52=".", ".", MOD(H54 + H53+H52, 2))</f>
        <v>1</v>
      </c>
      <c r="I55" s="17">
        <f t="shared" ref="I55" si="99">IF(I52=".", ".", MOD(I54 + I53+I52, 2))</f>
        <v>0</v>
      </c>
      <c r="J55" s="17">
        <f t="shared" ref="J55" si="100">IF(J52=".", ".", MOD(J54 + J53+J52, 2))</f>
        <v>0</v>
      </c>
      <c r="K55" s="17" t="s">
        <v>43</v>
      </c>
      <c r="L55" s="17">
        <f t="shared" ref="L55" si="101">IF(L52=".", ".", MOD(L54 + L53+L52, 2))</f>
        <v>0</v>
      </c>
      <c r="M55" s="17">
        <f t="shared" ref="M55" si="102">IF(M52=".", ".", MOD(M54 + M53+M52, 2))</f>
        <v>1</v>
      </c>
      <c r="N55" s="17">
        <f t="shared" ref="N55" si="103">IF(N52=".", ".", MOD(N54 + N53+N52, 2))</f>
        <v>1</v>
      </c>
      <c r="O55" s="17">
        <f t="shared" ref="O55" si="104">IF(O52=".", ".", MOD(O54 + O53+O52, 2))</f>
        <v>0</v>
      </c>
      <c r="P55" s="17" t="s">
        <v>43</v>
      </c>
      <c r="Q55" s="17">
        <f t="shared" ref="Q55" si="105">IF(Q52=".", ".", MOD(Q54 + Q53+Q52, 2))</f>
        <v>1</v>
      </c>
      <c r="R55" s="17">
        <f t="shared" ref="R55" si="106">IF(R52=".", ".", MOD(R54 + R53+R52, 2))</f>
        <v>0</v>
      </c>
      <c r="S55" s="17">
        <f t="shared" ref="S55" si="107">IF(S52=".", ".", MOD(S54 + S53+S52, 2))</f>
        <v>0</v>
      </c>
      <c r="T55" s="17">
        <f t="shared" ref="T55" si="108">IF(T52=".", ".", MOD(T54 + T53+T52, 2))</f>
        <v>0</v>
      </c>
      <c r="U55" s="17" t="s">
        <v>43</v>
      </c>
      <c r="V55" s="17">
        <f t="shared" ref="V55" si="109">IF(V52=".", ".", MOD(V54 + V53+V52, 2))</f>
        <v>0</v>
      </c>
      <c r="W55" s="17">
        <f t="shared" ref="W55" si="110">IF(W52=".", ".", MOD(W54 + W53+W52, 2))</f>
        <v>1</v>
      </c>
      <c r="X55" s="17">
        <f t="shared" ref="X55" si="111">IF(X52=".", ".", MOD(X54 + X53+X52, 2))</f>
        <v>1</v>
      </c>
      <c r="Y55" s="17">
        <f>IF(Y52=".", ".", MOD(Y54 + Y53+Y52, 2))</f>
        <v>0</v>
      </c>
      <c r="Z55" s="13" t="s">
        <v>55</v>
      </c>
      <c r="AA55" s="14">
        <f>-G55*32768 + H55*16384 + I55*8192 + J55*4096 + L55*2048 + M55*1024 + N55*512 + O55*256 + Q55*128 + R55*64 + S55*32 + T55*16 + V55*8 + W55*4 + X55*2 + Y55</f>
        <v>-14714</v>
      </c>
      <c r="AD55">
        <f>AD54+AD53</f>
        <v>-14714</v>
      </c>
    </row>
    <row r="56" spans="3:32" ht="18" x14ac:dyDescent="0.25">
      <c r="D56" s="2"/>
      <c r="K56" s="11"/>
      <c r="P56" s="11"/>
      <c r="U56" s="11"/>
      <c r="Z56" s="13"/>
    </row>
    <row r="57" spans="3:32" x14ac:dyDescent="0.2">
      <c r="G57" t="s">
        <v>51</v>
      </c>
      <c r="H57" s="19">
        <f>G52</f>
        <v>0</v>
      </c>
      <c r="J57" t="s">
        <v>52</v>
      </c>
      <c r="K57" s="19">
        <f>IF(MOD(SUM(Q55:T55, V55:Y55), 2)=0, 1, 0)</f>
        <v>0</v>
      </c>
      <c r="M57" t="s">
        <v>53</v>
      </c>
      <c r="N57" s="19">
        <f>X52</f>
        <v>1</v>
      </c>
      <c r="P57" t="s">
        <v>54</v>
      </c>
      <c r="Q57" s="19">
        <f>IF(SUM(G55:Y55)=0, 1, 0)</f>
        <v>0</v>
      </c>
      <c r="S57" t="s">
        <v>59</v>
      </c>
      <c r="T57" s="19">
        <f>G55</f>
        <v>1</v>
      </c>
      <c r="V57" t="s">
        <v>60</v>
      </c>
      <c r="W57" s="19">
        <f>MOD(H52+G52,2)</f>
        <v>1</v>
      </c>
      <c r="X57" s="18"/>
      <c r="Z57" s="13"/>
    </row>
    <row r="58" spans="3:32" x14ac:dyDescent="0.2">
      <c r="Z58" s="13"/>
    </row>
    <row r="59" spans="3:32" x14ac:dyDescent="0.2">
      <c r="C59" t="s">
        <v>68</v>
      </c>
      <c r="E59" t="s">
        <v>58</v>
      </c>
      <c r="F59" s="15"/>
      <c r="G59" s="15">
        <f t="shared" ref="G59:W59" si="112">IF(ISNUMBER(H60), INT((H59+H61+H60)/2), H59)</f>
        <v>1</v>
      </c>
      <c r="H59" s="15">
        <f t="shared" si="112"/>
        <v>0</v>
      </c>
      <c r="I59" s="15">
        <f t="shared" si="112"/>
        <v>0</v>
      </c>
      <c r="J59" s="15">
        <f t="shared" si="112"/>
        <v>1</v>
      </c>
      <c r="K59" s="15">
        <f t="shared" si="112"/>
        <v>1</v>
      </c>
      <c r="L59" s="15">
        <f t="shared" si="112"/>
        <v>1</v>
      </c>
      <c r="M59" s="15">
        <f t="shared" si="112"/>
        <v>1</v>
      </c>
      <c r="N59" s="15">
        <f t="shared" si="112"/>
        <v>1</v>
      </c>
      <c r="O59" s="15">
        <f t="shared" si="112"/>
        <v>1</v>
      </c>
      <c r="P59" s="15">
        <f t="shared" si="112"/>
        <v>1</v>
      </c>
      <c r="Q59" s="15">
        <f t="shared" si="112"/>
        <v>0</v>
      </c>
      <c r="R59" s="15">
        <f t="shared" si="112"/>
        <v>0</v>
      </c>
      <c r="S59" s="15">
        <f t="shared" si="112"/>
        <v>0</v>
      </c>
      <c r="T59" s="15">
        <f t="shared" si="112"/>
        <v>0</v>
      </c>
      <c r="U59" s="15">
        <f t="shared" si="112"/>
        <v>0</v>
      </c>
      <c r="V59" s="15">
        <f t="shared" si="112"/>
        <v>0</v>
      </c>
      <c r="W59" s="15">
        <f t="shared" si="112"/>
        <v>0</v>
      </c>
      <c r="X59" s="15">
        <f>IF(ISNUMBER(Y60), INT((Y59+Y61+Y60)/2), Y59)</f>
        <v>0</v>
      </c>
      <c r="Y59" s="15">
        <v>0</v>
      </c>
      <c r="Z59" s="13"/>
      <c r="AA59" s="15"/>
    </row>
    <row r="60" spans="3:32" x14ac:dyDescent="0.2">
      <c r="D60" s="9" t="s">
        <v>50</v>
      </c>
      <c r="E60" t="s">
        <v>31</v>
      </c>
      <c r="G60">
        <f>G14</f>
        <v>1</v>
      </c>
      <c r="H60">
        <f t="shared" ref="H60:Y60" si="113">H14</f>
        <v>1</v>
      </c>
      <c r="I60">
        <f t="shared" si="113"/>
        <v>0</v>
      </c>
      <c r="J60">
        <f t="shared" si="113"/>
        <v>0</v>
      </c>
      <c r="K60" t="str">
        <f t="shared" si="113"/>
        <v>.</v>
      </c>
      <c r="L60">
        <f t="shared" si="113"/>
        <v>0</v>
      </c>
      <c r="M60">
        <f t="shared" si="113"/>
        <v>1</v>
      </c>
      <c r="N60">
        <f t="shared" si="113"/>
        <v>1</v>
      </c>
      <c r="O60">
        <f t="shared" si="113"/>
        <v>0</v>
      </c>
      <c r="P60" t="str">
        <f t="shared" si="113"/>
        <v>.</v>
      </c>
      <c r="Q60">
        <f t="shared" si="113"/>
        <v>1</v>
      </c>
      <c r="R60">
        <f t="shared" si="113"/>
        <v>0</v>
      </c>
      <c r="S60">
        <f t="shared" si="113"/>
        <v>0</v>
      </c>
      <c r="T60">
        <f t="shared" si="113"/>
        <v>0</v>
      </c>
      <c r="U60" t="str">
        <f t="shared" si="113"/>
        <v>.</v>
      </c>
      <c r="V60">
        <f t="shared" si="113"/>
        <v>0</v>
      </c>
      <c r="W60">
        <f t="shared" si="113"/>
        <v>1</v>
      </c>
      <c r="X60">
        <f t="shared" si="113"/>
        <v>1</v>
      </c>
      <c r="Y60">
        <f t="shared" si="113"/>
        <v>0</v>
      </c>
      <c r="Z60" s="13"/>
      <c r="AB60" s="12" t="s">
        <v>50</v>
      </c>
      <c r="AC60" t="s">
        <v>65</v>
      </c>
      <c r="AD60">
        <f>C14</f>
        <v>-14714</v>
      </c>
    </row>
    <row r="61" spans="3:32" ht="18" x14ac:dyDescent="0.25">
      <c r="D61" s="9"/>
      <c r="E61" t="s">
        <v>27</v>
      </c>
      <c r="G61" s="10">
        <f>G6</f>
        <v>0</v>
      </c>
      <c r="H61" s="10">
        <f t="shared" ref="H61:Y61" si="114">H6</f>
        <v>1</v>
      </c>
      <c r="I61" s="10">
        <f t="shared" si="114"/>
        <v>0</v>
      </c>
      <c r="J61" s="10">
        <f t="shared" si="114"/>
        <v>0</v>
      </c>
      <c r="K61" s="10" t="str">
        <f t="shared" si="114"/>
        <v>.</v>
      </c>
      <c r="L61" s="10">
        <f t="shared" si="114"/>
        <v>1</v>
      </c>
      <c r="M61" s="10">
        <f t="shared" si="114"/>
        <v>0</v>
      </c>
      <c r="N61" s="10">
        <f t="shared" si="114"/>
        <v>0</v>
      </c>
      <c r="O61" s="10">
        <f t="shared" si="114"/>
        <v>1</v>
      </c>
      <c r="P61" s="10" t="str">
        <f t="shared" si="114"/>
        <v>.</v>
      </c>
      <c r="Q61" s="10">
        <f t="shared" si="114"/>
        <v>1</v>
      </c>
      <c r="R61" s="10">
        <f t="shared" si="114"/>
        <v>0</v>
      </c>
      <c r="S61" s="10">
        <f t="shared" si="114"/>
        <v>1</v>
      </c>
      <c r="T61" s="10">
        <f t="shared" si="114"/>
        <v>1</v>
      </c>
      <c r="U61" s="10" t="str">
        <f t="shared" si="114"/>
        <v>.</v>
      </c>
      <c r="V61" s="10">
        <f t="shared" si="114"/>
        <v>1</v>
      </c>
      <c r="W61" s="10">
        <f t="shared" si="114"/>
        <v>0</v>
      </c>
      <c r="X61" s="10">
        <f t="shared" si="114"/>
        <v>0</v>
      </c>
      <c r="Y61" s="10">
        <f t="shared" si="114"/>
        <v>0</v>
      </c>
      <c r="Z61" s="13"/>
      <c r="AB61" s="12"/>
      <c r="AC61" t="s">
        <v>61</v>
      </c>
      <c r="AD61" s="10">
        <f>C6</f>
        <v>18872</v>
      </c>
      <c r="AF61" s="17" t="str">
        <f>IF(AND(AD60&gt;0, AD61&gt;0, AA62&lt;0), $AF$7,
  IF(AND(AD60&lt;0, AD61&lt;0, AA62&gt;=0), $AF$6,
    IF(OR(AND(AD60&lt;0, AD61&lt;0), AND(AD60*AD61&lt;0, AA62&gt;=0)), $AF$5,
      $AF$4
    )
  )
)</f>
        <v>Результат корректный, перенос из старшего разряда не учитывается</v>
      </c>
    </row>
    <row r="62" spans="3:32" ht="18" x14ac:dyDescent="0.25">
      <c r="D62" s="2"/>
      <c r="G62" s="17">
        <f t="shared" ref="G62" si="115">IF(G59=".", ".", MOD(G61 + G60+G59, 2))</f>
        <v>0</v>
      </c>
      <c r="H62" s="17">
        <f t="shared" ref="H62" si="116">IF(H59=".", ".", MOD(H61 + H60+H59, 2))</f>
        <v>0</v>
      </c>
      <c r="I62" s="17">
        <f t="shared" ref="I62" si="117">IF(I59=".", ".", MOD(I61 + I60+I59, 2))</f>
        <v>0</v>
      </c>
      <c r="J62" s="17">
        <f t="shared" ref="J62" si="118">IF(J59=".", ".", MOD(J61 + J60+J59, 2))</f>
        <v>1</v>
      </c>
      <c r="K62" s="17" t="s">
        <v>43</v>
      </c>
      <c r="L62" s="17">
        <f t="shared" ref="L62" si="119">IF(L59=".", ".", MOD(L61 + L60+L59, 2))</f>
        <v>0</v>
      </c>
      <c r="M62" s="17">
        <f t="shared" ref="M62" si="120">IF(M59=".", ".", MOD(M61 + M60+M59, 2))</f>
        <v>0</v>
      </c>
      <c r="N62" s="17">
        <f t="shared" ref="N62" si="121">IF(N59=".", ".", MOD(N61 + N60+N59, 2))</f>
        <v>0</v>
      </c>
      <c r="O62" s="17">
        <f t="shared" ref="O62" si="122">IF(O59=".", ".", MOD(O61 + O60+O59, 2))</f>
        <v>0</v>
      </c>
      <c r="P62" s="17" t="s">
        <v>43</v>
      </c>
      <c r="Q62" s="17">
        <f t="shared" ref="Q62" si="123">IF(Q59=".", ".", MOD(Q61 + Q60+Q59, 2))</f>
        <v>0</v>
      </c>
      <c r="R62" s="17">
        <f t="shared" ref="R62" si="124">IF(R59=".", ".", MOD(R61 + R60+R59, 2))</f>
        <v>0</v>
      </c>
      <c r="S62" s="17">
        <f t="shared" ref="S62" si="125">IF(S59=".", ".", MOD(S61 + S60+S59, 2))</f>
        <v>1</v>
      </c>
      <c r="T62" s="17">
        <f t="shared" ref="T62" si="126">IF(T59=".", ".", MOD(T61 + T60+T59, 2))</f>
        <v>1</v>
      </c>
      <c r="U62" s="17" t="s">
        <v>43</v>
      </c>
      <c r="V62" s="17">
        <f t="shared" ref="V62" si="127">IF(V59=".", ".", MOD(V61 + V60+V59, 2))</f>
        <v>1</v>
      </c>
      <c r="W62" s="17">
        <f t="shared" ref="W62" si="128">IF(W59=".", ".", MOD(W61 + W60+W59, 2))</f>
        <v>1</v>
      </c>
      <c r="X62" s="17">
        <f t="shared" ref="X62" si="129">IF(X59=".", ".", MOD(X61 + X60+X59, 2))</f>
        <v>1</v>
      </c>
      <c r="Y62" s="17">
        <f>IF(Y59=".", ".", MOD(Y61 + Y60+Y59, 2))</f>
        <v>0</v>
      </c>
      <c r="Z62" s="13" t="s">
        <v>55</v>
      </c>
      <c r="AA62" s="14">
        <f>-G62*32768 + H62*16384 + I62*8192 + J62*4096 + L62*2048 + M62*1024 + N62*512 + O62*256 + Q62*128 + R62*64 + S62*32 + T62*16 + V62*8 + W62*4 + X62*2 + Y62</f>
        <v>4158</v>
      </c>
      <c r="AD62">
        <f>AD61+AD60</f>
        <v>4158</v>
      </c>
    </row>
    <row r="63" spans="3:32" ht="18" x14ac:dyDescent="0.25">
      <c r="D63" s="2"/>
      <c r="K63" s="11"/>
      <c r="P63" s="11"/>
      <c r="U63" s="11"/>
    </row>
    <row r="64" spans="3:32" x14ac:dyDescent="0.2">
      <c r="G64" t="s">
        <v>51</v>
      </c>
      <c r="H64" s="19">
        <f>G59</f>
        <v>1</v>
      </c>
      <c r="J64" t="s">
        <v>52</v>
      </c>
      <c r="K64" s="19">
        <f>IF(MOD(SUM(Q62:T62, V62:Y62), 2)=0, 1, 0)</f>
        <v>0</v>
      </c>
      <c r="M64" t="s">
        <v>53</v>
      </c>
      <c r="N64" s="19">
        <f>X59</f>
        <v>0</v>
      </c>
      <c r="P64" t="s">
        <v>54</v>
      </c>
      <c r="Q64" s="19">
        <f>IF(SUM(G62:Y62)=0, 1, 0)</f>
        <v>0</v>
      </c>
      <c r="S64" t="s">
        <v>59</v>
      </c>
      <c r="T64" s="19">
        <f>G62</f>
        <v>0</v>
      </c>
      <c r="V64" t="s">
        <v>60</v>
      </c>
      <c r="W64" s="19">
        <f>MOD(H59+G59,2)</f>
        <v>1</v>
      </c>
      <c r="X64" s="18"/>
    </row>
  </sheetData>
  <mergeCells count="14">
    <mergeCell ref="D46:D47"/>
    <mergeCell ref="AB46:AB47"/>
    <mergeCell ref="D53:D54"/>
    <mergeCell ref="AB53:AB54"/>
    <mergeCell ref="D60:D61"/>
    <mergeCell ref="AB60:AB61"/>
    <mergeCell ref="D25:D26"/>
    <mergeCell ref="AB25:AB26"/>
    <mergeCell ref="D32:D33"/>
    <mergeCell ref="AB32:AB33"/>
    <mergeCell ref="D39:D40"/>
    <mergeCell ref="AB39:AB40"/>
    <mergeCell ref="D18:D19"/>
    <mergeCell ref="AB18:AB19"/>
  </mergeCells>
  <phoneticPr fontId="1" type="noConversion"/>
  <pageMargins left="0.7" right="0.7" top="0.75" bottom="0.75" header="0.3" footer="0.3"/>
  <pageSetup paperSize="9" orientation="portrait" horizontalDpi="0" verticalDpi="0"/>
  <headerFooter>
    <oddHeader xml:space="preserve">&amp;C&amp;"Aptos Narrow,обычный"&amp;K000000Кириллов Иван Александрович, вариант №19
</oddHeader>
    <oddFooter>&amp;C&amp;"Aptos Narrow,обычный"&amp;K000000&amp;D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Иван Kirillov</dc:creator>
  <cp:lastModifiedBy>Иван Kirillov</cp:lastModifiedBy>
  <dcterms:created xsi:type="dcterms:W3CDTF">2025-11-15T12:17:36Z</dcterms:created>
  <dcterms:modified xsi:type="dcterms:W3CDTF">2025-11-29T12:42:55Z</dcterms:modified>
</cp:coreProperties>
</file>